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eshjesswani/Downloads/"/>
    </mc:Choice>
  </mc:AlternateContent>
  <xr:revisionPtr revIDLastSave="0" documentId="8_{972FC3AB-660C-EF4A-B8CF-9F11E01E4117}" xr6:coauthVersionLast="47" xr6:coauthVersionMax="47" xr10:uidLastSave="{00000000-0000-0000-0000-000000000000}"/>
  <bookViews>
    <workbookView xWindow="0" yWindow="740" windowWidth="28800" windowHeight="16360" activeTab="4" xr2:uid="{00000000-000D-0000-FFFF-FFFF00000000}"/>
  </bookViews>
  <sheets>
    <sheet name="Exhibit 1" sheetId="1" r:id="rId1"/>
    <sheet name="Exhibit 2" sheetId="5" r:id="rId2"/>
    <sheet name="Exhibit 3" sheetId="4" r:id="rId3"/>
    <sheet name="Exhibit 4A" sheetId="7" r:id="rId4"/>
    <sheet name="Exhibit 4B" sheetId="21" r:id="rId5"/>
    <sheet name="ROR (Before&amp;After RiskFree Adj)" sheetId="2" r:id="rId6"/>
    <sheet name="ROR (RiskFree Adj as Values)" sheetId="3" r:id="rId7"/>
    <sheet name="HEDG Regressions" sheetId="6" r:id="rId8"/>
    <sheet name="SnPL Regressions" sheetId="10" r:id="rId9"/>
  </sheets>
  <definedNames>
    <definedName name="OLE_LINK1" localSheetId="6">'ROR (RiskFree Adj as Values)'!#REF!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1" l="1"/>
  <c r="F23" i="21"/>
  <c r="F38" i="21" s="1"/>
  <c r="F24" i="21"/>
  <c r="F39" i="21" s="1"/>
  <c r="F25" i="21"/>
  <c r="F40" i="21" s="1"/>
  <c r="F26" i="21"/>
  <c r="F27" i="21"/>
  <c r="F42" i="21" s="1"/>
  <c r="F28" i="21"/>
  <c r="F43" i="21" s="1"/>
  <c r="F29" i="21"/>
  <c r="F44" i="21" s="1"/>
  <c r="F30" i="21"/>
  <c r="F45" i="21" s="1"/>
  <c r="F31" i="21"/>
  <c r="F46" i="21" s="1"/>
  <c r="F32" i="21"/>
  <c r="F47" i="21" s="1"/>
  <c r="B38" i="21"/>
  <c r="C38" i="21"/>
  <c r="D38" i="21"/>
  <c r="E38" i="21"/>
  <c r="B39" i="21"/>
  <c r="C39" i="21"/>
  <c r="D39" i="21"/>
  <c r="E39" i="21"/>
  <c r="B40" i="21"/>
  <c r="C40" i="21"/>
  <c r="D40" i="21"/>
  <c r="E40" i="21"/>
  <c r="B41" i="21"/>
  <c r="C41" i="21"/>
  <c r="D41" i="21"/>
  <c r="E41" i="21"/>
  <c r="F41" i="21"/>
  <c r="B42" i="21"/>
  <c r="C42" i="21"/>
  <c r="D42" i="21"/>
  <c r="E42" i="21"/>
  <c r="B43" i="21"/>
  <c r="C43" i="21"/>
  <c r="D43" i="21"/>
  <c r="E43" i="21"/>
  <c r="B44" i="21"/>
  <c r="C44" i="21"/>
  <c r="D44" i="21"/>
  <c r="E44" i="21"/>
  <c r="B45" i="21"/>
  <c r="C45" i="21"/>
  <c r="D45" i="21"/>
  <c r="E45" i="21"/>
  <c r="B46" i="21"/>
  <c r="C46" i="21"/>
  <c r="D46" i="21"/>
  <c r="E46" i="21"/>
  <c r="B47" i="21"/>
  <c r="C47" i="21"/>
  <c r="D47" i="21"/>
  <c r="E47" i="21"/>
  <c r="B68" i="7" l="1"/>
  <c r="B54" i="7"/>
  <c r="H29" i="7"/>
  <c r="I29" i="7"/>
  <c r="H31" i="7"/>
  <c r="I31" i="7"/>
  <c r="I54" i="7" s="1"/>
  <c r="H33" i="7"/>
  <c r="H56" i="7" s="1"/>
  <c r="I33" i="7"/>
  <c r="H35" i="7"/>
  <c r="H58" i="7" s="1"/>
  <c r="I35" i="7"/>
  <c r="H37" i="7"/>
  <c r="I37" i="7"/>
  <c r="I60" i="7" s="1"/>
  <c r="H39" i="7"/>
  <c r="H62" i="7" s="1"/>
  <c r="I39" i="7"/>
  <c r="H41" i="7"/>
  <c r="I41" i="7"/>
  <c r="H43" i="7"/>
  <c r="H66" i="7" s="1"/>
  <c r="I43" i="7"/>
  <c r="I66" i="7" s="1"/>
  <c r="H45" i="7"/>
  <c r="I45" i="7"/>
  <c r="I68" i="7" s="1"/>
  <c r="H47" i="7"/>
  <c r="I47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C54" i="7"/>
  <c r="D54" i="7"/>
  <c r="E54" i="7"/>
  <c r="F54" i="7"/>
  <c r="G54" i="7"/>
  <c r="H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B67" i="7"/>
  <c r="C67" i="7"/>
  <c r="D67" i="7"/>
  <c r="E67" i="7"/>
  <c r="F67" i="7"/>
  <c r="G67" i="7"/>
  <c r="H67" i="7"/>
  <c r="I67" i="7"/>
  <c r="C68" i="7"/>
  <c r="D68" i="7"/>
  <c r="E68" i="7"/>
  <c r="F68" i="7"/>
  <c r="G68" i="7"/>
  <c r="H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18" i="6"/>
  <c r="B42" i="6"/>
  <c r="B66" i="6"/>
  <c r="B90" i="6"/>
  <c r="B114" i="6"/>
  <c r="B138" i="6"/>
  <c r="B162" i="6"/>
  <c r="B186" i="6"/>
  <c r="B210" i="6"/>
  <c r="B234" i="6"/>
  <c r="J7" i="5"/>
  <c r="K7" i="5"/>
  <c r="L7" i="5"/>
  <c r="J8" i="5"/>
  <c r="K8" i="5"/>
  <c r="L8" i="5"/>
  <c r="J9" i="5"/>
  <c r="K9" i="5"/>
  <c r="L9" i="5"/>
  <c r="J10" i="5"/>
  <c r="K10" i="5"/>
  <c r="L10" i="5"/>
  <c r="J11" i="5"/>
  <c r="K11" i="5"/>
  <c r="L11" i="5"/>
  <c r="J12" i="5"/>
  <c r="K12" i="5"/>
  <c r="L12" i="5"/>
  <c r="J13" i="5"/>
  <c r="K13" i="5"/>
  <c r="L13" i="5"/>
  <c r="J14" i="5"/>
  <c r="K14" i="5"/>
  <c r="L14" i="5"/>
  <c r="J15" i="5"/>
  <c r="K15" i="5"/>
  <c r="L15" i="5"/>
  <c r="J16" i="5"/>
  <c r="K16" i="5"/>
  <c r="L16" i="5"/>
  <c r="J17" i="5"/>
  <c r="K17" i="5"/>
  <c r="L17" i="5"/>
  <c r="J18" i="5"/>
  <c r="K18" i="5"/>
  <c r="L18" i="5"/>
  <c r="J19" i="5"/>
  <c r="K19" i="5"/>
  <c r="L19" i="5"/>
  <c r="J20" i="5"/>
  <c r="K20" i="5"/>
  <c r="L20" i="5"/>
  <c r="J21" i="5"/>
  <c r="K21" i="5"/>
  <c r="L21" i="5"/>
  <c r="J22" i="5"/>
  <c r="K22" i="5"/>
  <c r="L22" i="5"/>
  <c r="J23" i="5"/>
  <c r="K23" i="5"/>
  <c r="L23" i="5"/>
  <c r="J24" i="5"/>
  <c r="K24" i="5"/>
  <c r="L24" i="5"/>
  <c r="J25" i="5"/>
  <c r="K25" i="5"/>
  <c r="L25" i="5"/>
  <c r="J26" i="5"/>
  <c r="K26" i="5"/>
  <c r="L26" i="5"/>
  <c r="C40" i="1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Z81" i="3"/>
  <c r="Y81" i="3"/>
  <c r="X81" i="3"/>
  <c r="W81" i="3"/>
  <c r="V81" i="3"/>
  <c r="U81" i="3"/>
  <c r="T81" i="3"/>
  <c r="S81" i="3"/>
  <c r="R81" i="3"/>
  <c r="Q81" i="3"/>
  <c r="P81" i="3"/>
  <c r="Z78" i="3"/>
  <c r="Y78" i="3"/>
  <c r="X78" i="3"/>
  <c r="W78" i="3"/>
  <c r="V78" i="3"/>
  <c r="U78" i="3"/>
  <c r="T78" i="3"/>
  <c r="S78" i="3"/>
  <c r="R78" i="3"/>
  <c r="Q78" i="3"/>
  <c r="P78" i="3"/>
  <c r="Z75" i="3"/>
  <c r="Y75" i="3"/>
  <c r="X75" i="3"/>
  <c r="W75" i="3"/>
  <c r="V75" i="3"/>
  <c r="U75" i="3"/>
  <c r="T75" i="3"/>
  <c r="S75" i="3"/>
  <c r="R75" i="3"/>
  <c r="Q75" i="3"/>
  <c r="P75" i="3"/>
  <c r="Z72" i="3"/>
  <c r="Y72" i="3"/>
  <c r="X72" i="3"/>
  <c r="W72" i="3"/>
  <c r="V72" i="3"/>
  <c r="U72" i="3"/>
  <c r="T72" i="3"/>
  <c r="S72" i="3"/>
  <c r="R72" i="3"/>
  <c r="Q72" i="3"/>
  <c r="P72" i="3"/>
  <c r="Z69" i="3"/>
  <c r="Y69" i="3"/>
  <c r="X69" i="3"/>
  <c r="W69" i="3"/>
  <c r="V69" i="3"/>
  <c r="U69" i="3"/>
  <c r="T69" i="3"/>
  <c r="S69" i="3"/>
  <c r="R69" i="3"/>
  <c r="Q69" i="3"/>
  <c r="P69" i="3"/>
  <c r="Z66" i="3"/>
  <c r="Y66" i="3"/>
  <c r="X66" i="3"/>
  <c r="W66" i="3"/>
  <c r="V66" i="3"/>
  <c r="U66" i="3"/>
  <c r="T66" i="3"/>
  <c r="S66" i="3"/>
  <c r="R66" i="3"/>
  <c r="Q66" i="3"/>
  <c r="P66" i="3"/>
  <c r="Z63" i="3"/>
  <c r="Y63" i="3"/>
  <c r="X63" i="3"/>
  <c r="W63" i="3"/>
  <c r="V63" i="3"/>
  <c r="U63" i="3"/>
  <c r="T63" i="3"/>
  <c r="S63" i="3"/>
  <c r="R63" i="3"/>
  <c r="Q63" i="3"/>
  <c r="P63" i="3"/>
  <c r="Z60" i="3"/>
  <c r="Y60" i="3"/>
  <c r="X60" i="3"/>
  <c r="W60" i="3"/>
  <c r="V60" i="3"/>
  <c r="U60" i="3"/>
  <c r="T60" i="3"/>
  <c r="S60" i="3"/>
  <c r="R60" i="3"/>
  <c r="Q60" i="3"/>
  <c r="P60" i="3"/>
  <c r="Z57" i="3"/>
  <c r="Y57" i="3"/>
  <c r="X57" i="3"/>
  <c r="W57" i="3"/>
  <c r="V57" i="3"/>
  <c r="U57" i="3"/>
  <c r="T57" i="3"/>
  <c r="S57" i="3"/>
  <c r="R57" i="3"/>
  <c r="Q57" i="3"/>
  <c r="P57" i="3"/>
  <c r="Z54" i="3"/>
  <c r="Y54" i="3"/>
  <c r="X54" i="3"/>
  <c r="W54" i="3"/>
  <c r="V54" i="3"/>
  <c r="U54" i="3"/>
  <c r="T54" i="3"/>
  <c r="S54" i="3"/>
  <c r="R54" i="3"/>
  <c r="Q54" i="3"/>
  <c r="P54" i="3"/>
  <c r="Z51" i="3"/>
  <c r="Y51" i="3"/>
  <c r="X51" i="3"/>
  <c r="W51" i="3"/>
  <c r="V51" i="3"/>
  <c r="U51" i="3"/>
  <c r="T51" i="3"/>
  <c r="S51" i="3"/>
  <c r="R51" i="3"/>
  <c r="Q51" i="3"/>
  <c r="P51" i="3"/>
  <c r="Z48" i="3"/>
  <c r="Y48" i="3"/>
  <c r="X48" i="3"/>
  <c r="W48" i="3"/>
  <c r="V48" i="3"/>
  <c r="U48" i="3"/>
  <c r="T48" i="3"/>
  <c r="S48" i="3"/>
  <c r="R48" i="3"/>
  <c r="Q48" i="3"/>
  <c r="P48" i="3"/>
  <c r="Z45" i="3"/>
  <c r="Y45" i="3"/>
  <c r="X45" i="3"/>
  <c r="W45" i="3"/>
  <c r="V45" i="3"/>
  <c r="U45" i="3"/>
  <c r="T45" i="3"/>
  <c r="S45" i="3"/>
  <c r="R45" i="3"/>
  <c r="Q45" i="3"/>
  <c r="P45" i="3"/>
  <c r="Z42" i="3"/>
  <c r="Y42" i="3"/>
  <c r="X42" i="3"/>
  <c r="W42" i="3"/>
  <c r="V42" i="3"/>
  <c r="U42" i="3"/>
  <c r="T42" i="3"/>
  <c r="S42" i="3"/>
  <c r="R42" i="3"/>
  <c r="Q42" i="3"/>
  <c r="P42" i="3"/>
  <c r="Z39" i="3"/>
  <c r="Y39" i="3"/>
  <c r="X39" i="3"/>
  <c r="W39" i="3"/>
  <c r="V39" i="3"/>
  <c r="U39" i="3"/>
  <c r="T39" i="3"/>
  <c r="S39" i="3"/>
  <c r="R39" i="3"/>
  <c r="Q39" i="3"/>
  <c r="P39" i="3"/>
  <c r="Z36" i="3"/>
  <c r="Y36" i="3"/>
  <c r="X36" i="3"/>
  <c r="W36" i="3"/>
  <c r="V36" i="3"/>
  <c r="U36" i="3"/>
  <c r="T36" i="3"/>
  <c r="S36" i="3"/>
  <c r="R36" i="3"/>
  <c r="Q36" i="3"/>
  <c r="P36" i="3"/>
  <c r="Z33" i="3"/>
  <c r="Y33" i="3"/>
  <c r="X33" i="3"/>
  <c r="W33" i="3"/>
  <c r="V33" i="3"/>
  <c r="U33" i="3"/>
  <c r="T33" i="3"/>
  <c r="S33" i="3"/>
  <c r="R33" i="3"/>
  <c r="Q33" i="3"/>
  <c r="P33" i="3"/>
  <c r="Z30" i="3"/>
  <c r="Y30" i="3"/>
  <c r="X30" i="3"/>
  <c r="W30" i="3"/>
  <c r="V30" i="3"/>
  <c r="U30" i="3"/>
  <c r="T30" i="3"/>
  <c r="S30" i="3"/>
  <c r="R30" i="3"/>
  <c r="Q30" i="3"/>
  <c r="P30" i="3"/>
  <c r="Z27" i="3"/>
  <c r="Y27" i="3"/>
  <c r="X27" i="3"/>
  <c r="W27" i="3"/>
  <c r="V27" i="3"/>
  <c r="U27" i="3"/>
  <c r="T27" i="3"/>
  <c r="S27" i="3"/>
  <c r="R27" i="3"/>
  <c r="Q27" i="3"/>
  <c r="P27" i="3"/>
  <c r="Z24" i="3"/>
  <c r="Y24" i="3"/>
  <c r="X24" i="3"/>
  <c r="W24" i="3"/>
  <c r="V24" i="3"/>
  <c r="U24" i="3"/>
  <c r="T24" i="3"/>
  <c r="S24" i="3"/>
  <c r="R24" i="3"/>
  <c r="Q24" i="3"/>
  <c r="P24" i="3"/>
  <c r="Z21" i="3"/>
  <c r="Y21" i="3"/>
  <c r="X21" i="3"/>
  <c r="W21" i="3"/>
  <c r="V21" i="3"/>
  <c r="U21" i="3"/>
  <c r="T21" i="3"/>
  <c r="S21" i="3"/>
  <c r="R21" i="3"/>
  <c r="Q21" i="3"/>
  <c r="P21" i="3"/>
  <c r="Z18" i="3"/>
  <c r="Y18" i="3"/>
  <c r="X18" i="3"/>
  <c r="W18" i="3"/>
  <c r="V18" i="3"/>
  <c r="U18" i="3"/>
  <c r="T18" i="3"/>
  <c r="S18" i="3"/>
  <c r="R18" i="3"/>
  <c r="Q18" i="3"/>
  <c r="P18" i="3"/>
  <c r="Z15" i="3"/>
  <c r="Y15" i="3"/>
  <c r="X15" i="3"/>
  <c r="W15" i="3"/>
  <c r="V15" i="3"/>
  <c r="U15" i="3"/>
  <c r="T15" i="3"/>
  <c r="S15" i="3"/>
  <c r="R15" i="3"/>
  <c r="Q15" i="3"/>
  <c r="P15" i="3"/>
  <c r="Z12" i="3"/>
  <c r="Y12" i="3"/>
  <c r="X12" i="3"/>
  <c r="W12" i="3"/>
  <c r="V12" i="3"/>
  <c r="U12" i="3"/>
  <c r="T12" i="3"/>
  <c r="S12" i="3"/>
  <c r="R12" i="3"/>
  <c r="Q12" i="3"/>
  <c r="P12" i="3"/>
  <c r="Z9" i="3"/>
  <c r="Y9" i="3"/>
  <c r="X9" i="3"/>
  <c r="W9" i="3"/>
  <c r="V9" i="3"/>
  <c r="U9" i="3"/>
  <c r="T9" i="3"/>
  <c r="S9" i="3"/>
  <c r="R9" i="3"/>
  <c r="Q9" i="3"/>
  <c r="P9" i="3"/>
  <c r="Z6" i="3"/>
  <c r="Y6" i="3"/>
  <c r="X6" i="3"/>
  <c r="W6" i="3"/>
  <c r="V6" i="3"/>
  <c r="U6" i="3"/>
  <c r="T6" i="3"/>
  <c r="S6" i="3"/>
  <c r="R6" i="3"/>
  <c r="Q6" i="3"/>
  <c r="P6" i="3"/>
  <c r="Z3" i="3"/>
  <c r="Y3" i="3"/>
  <c r="X3" i="3"/>
  <c r="W3" i="3"/>
  <c r="V3" i="3"/>
  <c r="U3" i="3"/>
  <c r="T3" i="3"/>
  <c r="S3" i="3"/>
  <c r="R3" i="3"/>
  <c r="Q3" i="3"/>
  <c r="P3" i="3"/>
  <c r="U90" i="3" l="1"/>
  <c r="Q90" i="3"/>
  <c r="V87" i="3"/>
  <c r="V88" i="3" s="1"/>
  <c r="R87" i="3"/>
  <c r="R88" i="3" s="1"/>
  <c r="P90" i="3"/>
  <c r="Z87" i="3"/>
  <c r="Z88" i="3" s="1"/>
  <c r="S90" i="3"/>
  <c r="T90" i="3"/>
  <c r="W90" i="3"/>
  <c r="X90" i="3"/>
  <c r="Y90" i="3"/>
  <c r="S87" i="3"/>
  <c r="S88" i="3" s="1"/>
  <c r="W87" i="3"/>
  <c r="W88" i="3" s="1"/>
  <c r="R90" i="3"/>
  <c r="V90" i="3"/>
  <c r="Z90" i="3"/>
  <c r="P87" i="3"/>
  <c r="P88" i="3" s="1"/>
  <c r="T87" i="3"/>
  <c r="T88" i="3" s="1"/>
  <c r="X87" i="3"/>
  <c r="X88" i="3" s="1"/>
  <c r="Q87" i="3"/>
  <c r="Q88" i="3" s="1"/>
  <c r="U87" i="3"/>
  <c r="U88" i="3" s="1"/>
  <c r="Y87" i="3"/>
  <c r="Y88" i="3" s="1"/>
  <c r="Z83" i="2"/>
  <c r="Y83" i="2"/>
  <c r="X83" i="2"/>
  <c r="W83" i="2"/>
  <c r="V83" i="2"/>
  <c r="U83" i="2"/>
  <c r="T83" i="2"/>
  <c r="S83" i="2"/>
  <c r="R83" i="2"/>
  <c r="Q83" i="2"/>
  <c r="P83" i="2"/>
  <c r="Z82" i="2"/>
  <c r="Y82" i="2"/>
  <c r="X82" i="2"/>
  <c r="W82" i="2"/>
  <c r="V82" i="2"/>
  <c r="U82" i="2"/>
  <c r="T82" i="2"/>
  <c r="S82" i="2"/>
  <c r="R82" i="2"/>
  <c r="Q82" i="2"/>
  <c r="P82" i="2"/>
  <c r="Z81" i="2"/>
  <c r="Y81" i="2"/>
  <c r="X81" i="2"/>
  <c r="W81" i="2"/>
  <c r="V81" i="2"/>
  <c r="U81" i="2"/>
  <c r="T81" i="2"/>
  <c r="S81" i="2"/>
  <c r="R81" i="2"/>
  <c r="Q81" i="2"/>
  <c r="P81" i="2"/>
  <c r="Z80" i="2"/>
  <c r="Y80" i="2"/>
  <c r="X80" i="2"/>
  <c r="W80" i="2"/>
  <c r="V80" i="2"/>
  <c r="U80" i="2"/>
  <c r="T80" i="2"/>
  <c r="S80" i="2"/>
  <c r="R80" i="2"/>
  <c r="Q80" i="2"/>
  <c r="P80" i="2"/>
  <c r="Z79" i="2"/>
  <c r="Y79" i="2"/>
  <c r="X79" i="2"/>
  <c r="W79" i="2"/>
  <c r="V79" i="2"/>
  <c r="U79" i="2"/>
  <c r="T79" i="2"/>
  <c r="S79" i="2"/>
  <c r="R79" i="2"/>
  <c r="Q79" i="2"/>
  <c r="P79" i="2"/>
  <c r="Z78" i="2"/>
  <c r="Y78" i="2"/>
  <c r="X78" i="2"/>
  <c r="W78" i="2"/>
  <c r="V78" i="2"/>
  <c r="U78" i="2"/>
  <c r="T78" i="2"/>
  <c r="S78" i="2"/>
  <c r="R78" i="2"/>
  <c r="Q78" i="2"/>
  <c r="P78" i="2"/>
  <c r="Z77" i="2"/>
  <c r="Y77" i="2"/>
  <c r="X77" i="2"/>
  <c r="W77" i="2"/>
  <c r="V77" i="2"/>
  <c r="U77" i="2"/>
  <c r="T77" i="2"/>
  <c r="S77" i="2"/>
  <c r="R77" i="2"/>
  <c r="Q77" i="2"/>
  <c r="P77" i="2"/>
  <c r="Z76" i="2"/>
  <c r="Y76" i="2"/>
  <c r="X76" i="2"/>
  <c r="W76" i="2"/>
  <c r="V76" i="2"/>
  <c r="U76" i="2"/>
  <c r="T76" i="2"/>
  <c r="S76" i="2"/>
  <c r="R76" i="2"/>
  <c r="Q76" i="2"/>
  <c r="P76" i="2"/>
  <c r="Z75" i="2"/>
  <c r="Y75" i="2"/>
  <c r="X75" i="2"/>
  <c r="W75" i="2"/>
  <c r="V75" i="2"/>
  <c r="U75" i="2"/>
  <c r="T75" i="2"/>
  <c r="S75" i="2"/>
  <c r="R75" i="2"/>
  <c r="Q75" i="2"/>
  <c r="P75" i="2"/>
  <c r="Z74" i="2"/>
  <c r="Y74" i="2"/>
  <c r="X74" i="2"/>
  <c r="W74" i="2"/>
  <c r="V74" i="2"/>
  <c r="U74" i="2"/>
  <c r="T74" i="2"/>
  <c r="S74" i="2"/>
  <c r="R74" i="2"/>
  <c r="Q74" i="2"/>
  <c r="P74" i="2"/>
  <c r="Z73" i="2"/>
  <c r="Y73" i="2"/>
  <c r="X73" i="2"/>
  <c r="W73" i="2"/>
  <c r="V73" i="2"/>
  <c r="U73" i="2"/>
  <c r="T73" i="2"/>
  <c r="S73" i="2"/>
  <c r="R73" i="2"/>
  <c r="Q73" i="2"/>
  <c r="P73" i="2"/>
  <c r="Z72" i="2"/>
  <c r="Y72" i="2"/>
  <c r="X72" i="2"/>
  <c r="W72" i="2"/>
  <c r="V72" i="2"/>
  <c r="U72" i="2"/>
  <c r="T72" i="2"/>
  <c r="S72" i="2"/>
  <c r="R72" i="2"/>
  <c r="Q72" i="2"/>
  <c r="P72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X70" i="2"/>
  <c r="W70" i="2"/>
  <c r="V70" i="2"/>
  <c r="U70" i="2"/>
  <c r="T70" i="2"/>
  <c r="S70" i="2"/>
  <c r="R70" i="2"/>
  <c r="Q70" i="2"/>
  <c r="P70" i="2"/>
  <c r="Z69" i="2"/>
  <c r="Y69" i="2"/>
  <c r="X69" i="2"/>
  <c r="W69" i="2"/>
  <c r="V69" i="2"/>
  <c r="U69" i="2"/>
  <c r="T69" i="2"/>
  <c r="S69" i="2"/>
  <c r="R69" i="2"/>
  <c r="Q69" i="2"/>
  <c r="P69" i="2"/>
  <c r="Z68" i="2"/>
  <c r="Y68" i="2"/>
  <c r="X68" i="2"/>
  <c r="W68" i="2"/>
  <c r="V68" i="2"/>
  <c r="U68" i="2"/>
  <c r="T68" i="2"/>
  <c r="S68" i="2"/>
  <c r="R68" i="2"/>
  <c r="Q68" i="2"/>
  <c r="P68" i="2"/>
  <c r="Z67" i="2"/>
  <c r="Y67" i="2"/>
  <c r="X67" i="2"/>
  <c r="W67" i="2"/>
  <c r="V67" i="2"/>
  <c r="U67" i="2"/>
  <c r="T67" i="2"/>
  <c r="S67" i="2"/>
  <c r="R67" i="2"/>
  <c r="Q67" i="2"/>
  <c r="P67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V65" i="2"/>
  <c r="U65" i="2"/>
  <c r="T65" i="2"/>
  <c r="S65" i="2"/>
  <c r="R65" i="2"/>
  <c r="Q65" i="2"/>
  <c r="P65" i="2"/>
  <c r="Z64" i="2"/>
  <c r="Y64" i="2"/>
  <c r="X64" i="2"/>
  <c r="W64" i="2"/>
  <c r="V64" i="2"/>
  <c r="U64" i="2"/>
  <c r="T64" i="2"/>
  <c r="S64" i="2"/>
  <c r="R64" i="2"/>
  <c r="Q64" i="2"/>
  <c r="P64" i="2"/>
  <c r="Z63" i="2"/>
  <c r="Y63" i="2"/>
  <c r="X63" i="2"/>
  <c r="W63" i="2"/>
  <c r="V63" i="2"/>
  <c r="U63" i="2"/>
  <c r="T63" i="2"/>
  <c r="S63" i="2"/>
  <c r="R63" i="2"/>
  <c r="Q63" i="2"/>
  <c r="P63" i="2"/>
  <c r="Z62" i="2"/>
  <c r="Y62" i="2"/>
  <c r="X62" i="2"/>
  <c r="W62" i="2"/>
  <c r="V62" i="2"/>
  <c r="U62" i="2"/>
  <c r="T62" i="2"/>
  <c r="S62" i="2"/>
  <c r="R62" i="2"/>
  <c r="Q62" i="2"/>
  <c r="P62" i="2"/>
  <c r="Z61" i="2"/>
  <c r="Y61" i="2"/>
  <c r="X61" i="2"/>
  <c r="W61" i="2"/>
  <c r="V61" i="2"/>
  <c r="U61" i="2"/>
  <c r="T61" i="2"/>
  <c r="S61" i="2"/>
  <c r="R61" i="2"/>
  <c r="Q61" i="2"/>
  <c r="P61" i="2"/>
  <c r="Z60" i="2"/>
  <c r="Y60" i="2"/>
  <c r="X60" i="2"/>
  <c r="W60" i="2"/>
  <c r="V60" i="2"/>
  <c r="U60" i="2"/>
  <c r="T60" i="2"/>
  <c r="S60" i="2"/>
  <c r="R60" i="2"/>
  <c r="Q60" i="2"/>
  <c r="P60" i="2"/>
  <c r="Z59" i="2"/>
  <c r="Y59" i="2"/>
  <c r="X59" i="2"/>
  <c r="W59" i="2"/>
  <c r="V59" i="2"/>
  <c r="U59" i="2"/>
  <c r="T59" i="2"/>
  <c r="S59" i="2"/>
  <c r="R59" i="2"/>
  <c r="Q59" i="2"/>
  <c r="P59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S57" i="2"/>
  <c r="R57" i="2"/>
  <c r="Q57" i="2"/>
  <c r="P57" i="2"/>
  <c r="Z56" i="2"/>
  <c r="Y56" i="2"/>
  <c r="X56" i="2"/>
  <c r="W56" i="2"/>
  <c r="V56" i="2"/>
  <c r="U56" i="2"/>
  <c r="T56" i="2"/>
  <c r="S56" i="2"/>
  <c r="R56" i="2"/>
  <c r="Q56" i="2"/>
  <c r="P56" i="2"/>
  <c r="Z55" i="2"/>
  <c r="Y55" i="2"/>
  <c r="X55" i="2"/>
  <c r="W55" i="2"/>
  <c r="V55" i="2"/>
  <c r="U55" i="2"/>
  <c r="T55" i="2"/>
  <c r="S55" i="2"/>
  <c r="R55" i="2"/>
  <c r="Q55" i="2"/>
  <c r="P55" i="2"/>
  <c r="Z54" i="2"/>
  <c r="Y54" i="2"/>
  <c r="X54" i="2"/>
  <c r="W54" i="2"/>
  <c r="V54" i="2"/>
  <c r="U54" i="2"/>
  <c r="T54" i="2"/>
  <c r="S54" i="2"/>
  <c r="R54" i="2"/>
  <c r="Q54" i="2"/>
  <c r="P54" i="2"/>
  <c r="Z53" i="2"/>
  <c r="Y53" i="2"/>
  <c r="X53" i="2"/>
  <c r="W53" i="2"/>
  <c r="V53" i="2"/>
  <c r="U53" i="2"/>
  <c r="T53" i="2"/>
  <c r="S53" i="2"/>
  <c r="R53" i="2"/>
  <c r="Q53" i="2"/>
  <c r="P53" i="2"/>
  <c r="Z52" i="2"/>
  <c r="Y52" i="2"/>
  <c r="X52" i="2"/>
  <c r="W52" i="2"/>
  <c r="V52" i="2"/>
  <c r="U52" i="2"/>
  <c r="T52" i="2"/>
  <c r="S52" i="2"/>
  <c r="R52" i="2"/>
  <c r="Q52" i="2"/>
  <c r="P52" i="2"/>
  <c r="Z51" i="2"/>
  <c r="Y51" i="2"/>
  <c r="X51" i="2"/>
  <c r="W51" i="2"/>
  <c r="V51" i="2"/>
  <c r="U51" i="2"/>
  <c r="T51" i="2"/>
  <c r="S51" i="2"/>
  <c r="R51" i="2"/>
  <c r="Q51" i="2"/>
  <c r="P51" i="2"/>
  <c r="Z50" i="2"/>
  <c r="Y50" i="2"/>
  <c r="X50" i="2"/>
  <c r="W50" i="2"/>
  <c r="V50" i="2"/>
  <c r="U50" i="2"/>
  <c r="T50" i="2"/>
  <c r="S50" i="2"/>
  <c r="R50" i="2"/>
  <c r="Q50" i="2"/>
  <c r="P50" i="2"/>
  <c r="Z49" i="2"/>
  <c r="Y49" i="2"/>
  <c r="X49" i="2"/>
  <c r="W49" i="2"/>
  <c r="V49" i="2"/>
  <c r="U49" i="2"/>
  <c r="T49" i="2"/>
  <c r="S49" i="2"/>
  <c r="R49" i="2"/>
  <c r="Q49" i="2"/>
  <c r="P49" i="2"/>
  <c r="Z48" i="2"/>
  <c r="Y48" i="2"/>
  <c r="X48" i="2"/>
  <c r="W48" i="2"/>
  <c r="V48" i="2"/>
  <c r="U48" i="2"/>
  <c r="T48" i="2"/>
  <c r="S48" i="2"/>
  <c r="R48" i="2"/>
  <c r="Q48" i="2"/>
  <c r="P48" i="2"/>
  <c r="Z47" i="2"/>
  <c r="Y47" i="2"/>
  <c r="X47" i="2"/>
  <c r="W47" i="2"/>
  <c r="V47" i="2"/>
  <c r="U47" i="2"/>
  <c r="T47" i="2"/>
  <c r="S47" i="2"/>
  <c r="R47" i="2"/>
  <c r="Q47" i="2"/>
  <c r="P47" i="2"/>
  <c r="Z46" i="2"/>
  <c r="Y46" i="2"/>
  <c r="X46" i="2"/>
  <c r="W46" i="2"/>
  <c r="V46" i="2"/>
  <c r="U46" i="2"/>
  <c r="T46" i="2"/>
  <c r="S46" i="2"/>
  <c r="R46" i="2"/>
  <c r="Q46" i="2"/>
  <c r="P46" i="2"/>
  <c r="Z45" i="2"/>
  <c r="Y45" i="2"/>
  <c r="X45" i="2"/>
  <c r="W45" i="2"/>
  <c r="V45" i="2"/>
  <c r="U45" i="2"/>
  <c r="T45" i="2"/>
  <c r="S45" i="2"/>
  <c r="R45" i="2"/>
  <c r="Q45" i="2"/>
  <c r="P45" i="2"/>
  <c r="Z44" i="2"/>
  <c r="Y44" i="2"/>
  <c r="X44" i="2"/>
  <c r="W44" i="2"/>
  <c r="V44" i="2"/>
  <c r="U44" i="2"/>
  <c r="T44" i="2"/>
  <c r="S44" i="2"/>
  <c r="R44" i="2"/>
  <c r="Q44" i="2"/>
  <c r="P44" i="2"/>
  <c r="Z43" i="2"/>
  <c r="Y43" i="2"/>
  <c r="X43" i="2"/>
  <c r="W43" i="2"/>
  <c r="V43" i="2"/>
  <c r="U43" i="2"/>
  <c r="T43" i="2"/>
  <c r="S43" i="2"/>
  <c r="R43" i="2"/>
  <c r="Q43" i="2"/>
  <c r="P43" i="2"/>
  <c r="Z42" i="2"/>
  <c r="Y42" i="2"/>
  <c r="X42" i="2"/>
  <c r="W42" i="2"/>
  <c r="V42" i="2"/>
  <c r="U42" i="2"/>
  <c r="T42" i="2"/>
  <c r="S42" i="2"/>
  <c r="R42" i="2"/>
  <c r="Q42" i="2"/>
  <c r="P42" i="2"/>
  <c r="Z41" i="2"/>
  <c r="Y41" i="2"/>
  <c r="X41" i="2"/>
  <c r="W41" i="2"/>
  <c r="V41" i="2"/>
  <c r="U41" i="2"/>
  <c r="T41" i="2"/>
  <c r="S41" i="2"/>
  <c r="R41" i="2"/>
  <c r="Q41" i="2"/>
  <c r="P41" i="2"/>
  <c r="Z40" i="2"/>
  <c r="Y40" i="2"/>
  <c r="X40" i="2"/>
  <c r="W40" i="2"/>
  <c r="V40" i="2"/>
  <c r="U40" i="2"/>
  <c r="T40" i="2"/>
  <c r="S40" i="2"/>
  <c r="R40" i="2"/>
  <c r="Q40" i="2"/>
  <c r="P40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X38" i="2"/>
  <c r="W38" i="2"/>
  <c r="V38" i="2"/>
  <c r="U38" i="2"/>
  <c r="T38" i="2"/>
  <c r="S38" i="2"/>
  <c r="R38" i="2"/>
  <c r="Q38" i="2"/>
  <c r="P38" i="2"/>
  <c r="Z37" i="2"/>
  <c r="Y37" i="2"/>
  <c r="X37" i="2"/>
  <c r="W37" i="2"/>
  <c r="V37" i="2"/>
  <c r="U37" i="2"/>
  <c r="T37" i="2"/>
  <c r="S37" i="2"/>
  <c r="R37" i="2"/>
  <c r="Q37" i="2"/>
  <c r="P37" i="2"/>
  <c r="Z36" i="2"/>
  <c r="Y36" i="2"/>
  <c r="X36" i="2"/>
  <c r="W36" i="2"/>
  <c r="V36" i="2"/>
  <c r="U36" i="2"/>
  <c r="T36" i="2"/>
  <c r="S36" i="2"/>
  <c r="R36" i="2"/>
  <c r="Q36" i="2"/>
  <c r="P36" i="2"/>
  <c r="Z35" i="2"/>
  <c r="Y35" i="2"/>
  <c r="X35" i="2"/>
  <c r="W35" i="2"/>
  <c r="V35" i="2"/>
  <c r="U35" i="2"/>
  <c r="T35" i="2"/>
  <c r="S35" i="2"/>
  <c r="R35" i="2"/>
  <c r="Q35" i="2"/>
  <c r="P35" i="2"/>
  <c r="Z34" i="2"/>
  <c r="Y34" i="2"/>
  <c r="X34" i="2"/>
  <c r="W34" i="2"/>
  <c r="V34" i="2"/>
  <c r="U34" i="2"/>
  <c r="T34" i="2"/>
  <c r="S34" i="2"/>
  <c r="R34" i="2"/>
  <c r="Q34" i="2"/>
  <c r="P34" i="2"/>
  <c r="Z33" i="2"/>
  <c r="Y33" i="2"/>
  <c r="X33" i="2"/>
  <c r="W33" i="2"/>
  <c r="V33" i="2"/>
  <c r="U33" i="2"/>
  <c r="T33" i="2"/>
  <c r="S33" i="2"/>
  <c r="R33" i="2"/>
  <c r="Q33" i="2"/>
  <c r="P33" i="2"/>
  <c r="Z32" i="2"/>
  <c r="Y32" i="2"/>
  <c r="X32" i="2"/>
  <c r="W32" i="2"/>
  <c r="V32" i="2"/>
  <c r="U32" i="2"/>
  <c r="T32" i="2"/>
  <c r="S32" i="2"/>
  <c r="R32" i="2"/>
  <c r="Q32" i="2"/>
  <c r="P32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X30" i="2"/>
  <c r="W30" i="2"/>
  <c r="V30" i="2"/>
  <c r="U30" i="2"/>
  <c r="T30" i="2"/>
  <c r="S30" i="2"/>
  <c r="R30" i="2"/>
  <c r="Q30" i="2"/>
  <c r="P30" i="2"/>
  <c r="Z29" i="2"/>
  <c r="Y29" i="2"/>
  <c r="X29" i="2"/>
  <c r="W29" i="2"/>
  <c r="V29" i="2"/>
  <c r="U29" i="2"/>
  <c r="T29" i="2"/>
  <c r="S29" i="2"/>
  <c r="R29" i="2"/>
  <c r="Q29" i="2"/>
  <c r="P29" i="2"/>
  <c r="Z28" i="2"/>
  <c r="Y28" i="2"/>
  <c r="X28" i="2"/>
  <c r="W28" i="2"/>
  <c r="V28" i="2"/>
  <c r="U28" i="2"/>
  <c r="T28" i="2"/>
  <c r="S28" i="2"/>
  <c r="R28" i="2"/>
  <c r="Q28" i="2"/>
  <c r="P28" i="2"/>
  <c r="Z27" i="2"/>
  <c r="Y27" i="2"/>
  <c r="X27" i="2"/>
  <c r="W27" i="2"/>
  <c r="V27" i="2"/>
  <c r="U27" i="2"/>
  <c r="T27" i="2"/>
  <c r="S27" i="2"/>
  <c r="R27" i="2"/>
  <c r="Q27" i="2"/>
  <c r="P27" i="2"/>
  <c r="Z26" i="2"/>
  <c r="Y26" i="2"/>
  <c r="X26" i="2"/>
  <c r="W26" i="2"/>
  <c r="V26" i="2"/>
  <c r="U26" i="2"/>
  <c r="T26" i="2"/>
  <c r="S26" i="2"/>
  <c r="R26" i="2"/>
  <c r="Q26" i="2"/>
  <c r="P26" i="2"/>
  <c r="Z25" i="2"/>
  <c r="Y25" i="2"/>
  <c r="X25" i="2"/>
  <c r="W25" i="2"/>
  <c r="V25" i="2"/>
  <c r="U25" i="2"/>
  <c r="T25" i="2"/>
  <c r="S25" i="2"/>
  <c r="R25" i="2"/>
  <c r="Q25" i="2"/>
  <c r="P25" i="2"/>
  <c r="Z24" i="2"/>
  <c r="Y24" i="2"/>
  <c r="X24" i="2"/>
  <c r="W24" i="2"/>
  <c r="V24" i="2"/>
  <c r="U24" i="2"/>
  <c r="T24" i="2"/>
  <c r="S24" i="2"/>
  <c r="R24" i="2"/>
  <c r="Q24" i="2"/>
  <c r="P24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X22" i="2"/>
  <c r="W22" i="2"/>
  <c r="V22" i="2"/>
  <c r="U22" i="2"/>
  <c r="T22" i="2"/>
  <c r="S22" i="2"/>
  <c r="R22" i="2"/>
  <c r="Q22" i="2"/>
  <c r="P22" i="2"/>
  <c r="Z21" i="2"/>
  <c r="Y21" i="2"/>
  <c r="X21" i="2"/>
  <c r="W21" i="2"/>
  <c r="V21" i="2"/>
  <c r="U21" i="2"/>
  <c r="T21" i="2"/>
  <c r="S21" i="2"/>
  <c r="R21" i="2"/>
  <c r="Q21" i="2"/>
  <c r="P21" i="2"/>
  <c r="Z20" i="2"/>
  <c r="Y20" i="2"/>
  <c r="X20" i="2"/>
  <c r="W20" i="2"/>
  <c r="V20" i="2"/>
  <c r="U20" i="2"/>
  <c r="T20" i="2"/>
  <c r="S20" i="2"/>
  <c r="R20" i="2"/>
  <c r="Q20" i="2"/>
  <c r="P20" i="2"/>
  <c r="Z19" i="2"/>
  <c r="Y19" i="2"/>
  <c r="X19" i="2"/>
  <c r="W19" i="2"/>
  <c r="V19" i="2"/>
  <c r="U19" i="2"/>
  <c r="T19" i="2"/>
  <c r="S19" i="2"/>
  <c r="R19" i="2"/>
  <c r="Q19" i="2"/>
  <c r="P19" i="2"/>
  <c r="Z18" i="2"/>
  <c r="Y18" i="2"/>
  <c r="X18" i="2"/>
  <c r="W18" i="2"/>
  <c r="V18" i="2"/>
  <c r="U18" i="2"/>
  <c r="T18" i="2"/>
  <c r="S18" i="2"/>
  <c r="R18" i="2"/>
  <c r="Q18" i="2"/>
  <c r="P18" i="2"/>
  <c r="Z17" i="2"/>
  <c r="Y17" i="2"/>
  <c r="X17" i="2"/>
  <c r="W17" i="2"/>
  <c r="V17" i="2"/>
  <c r="U17" i="2"/>
  <c r="T17" i="2"/>
  <c r="S17" i="2"/>
  <c r="R17" i="2"/>
  <c r="Q17" i="2"/>
  <c r="P17" i="2"/>
  <c r="Z16" i="2"/>
  <c r="Y16" i="2"/>
  <c r="X16" i="2"/>
  <c r="W16" i="2"/>
  <c r="V16" i="2"/>
  <c r="U16" i="2"/>
  <c r="T16" i="2"/>
  <c r="S16" i="2"/>
  <c r="R16" i="2"/>
  <c r="Q16" i="2"/>
  <c r="P16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X14" i="2"/>
  <c r="W14" i="2"/>
  <c r="V14" i="2"/>
  <c r="U14" i="2"/>
  <c r="T14" i="2"/>
  <c r="S14" i="2"/>
  <c r="R14" i="2"/>
  <c r="Q14" i="2"/>
  <c r="P14" i="2"/>
  <c r="Z13" i="2"/>
  <c r="Y13" i="2"/>
  <c r="X13" i="2"/>
  <c r="W13" i="2"/>
  <c r="V13" i="2"/>
  <c r="U13" i="2"/>
  <c r="T13" i="2"/>
  <c r="S13" i="2"/>
  <c r="R13" i="2"/>
  <c r="Q13" i="2"/>
  <c r="P13" i="2"/>
  <c r="Z12" i="2"/>
  <c r="Y12" i="2"/>
  <c r="X12" i="2"/>
  <c r="W12" i="2"/>
  <c r="V12" i="2"/>
  <c r="U12" i="2"/>
  <c r="T12" i="2"/>
  <c r="S12" i="2"/>
  <c r="R12" i="2"/>
  <c r="Q12" i="2"/>
  <c r="P12" i="2"/>
  <c r="Z11" i="2"/>
  <c r="Y11" i="2"/>
  <c r="X11" i="2"/>
  <c r="W11" i="2"/>
  <c r="V11" i="2"/>
  <c r="U11" i="2"/>
  <c r="T11" i="2"/>
  <c r="S11" i="2"/>
  <c r="R11" i="2"/>
  <c r="Q11" i="2"/>
  <c r="P11" i="2"/>
  <c r="Z10" i="2"/>
  <c r="Y10" i="2"/>
  <c r="X10" i="2"/>
  <c r="W10" i="2"/>
  <c r="V10" i="2"/>
  <c r="U10" i="2"/>
  <c r="T10" i="2"/>
  <c r="S10" i="2"/>
  <c r="R10" i="2"/>
  <c r="Q10" i="2"/>
  <c r="P10" i="2"/>
  <c r="Z9" i="2"/>
  <c r="Y9" i="2"/>
  <c r="X9" i="2"/>
  <c r="W9" i="2"/>
  <c r="V9" i="2"/>
  <c r="U9" i="2"/>
  <c r="T9" i="2"/>
  <c r="S9" i="2"/>
  <c r="R9" i="2"/>
  <c r="Q9" i="2"/>
  <c r="P9" i="2"/>
  <c r="Z8" i="2"/>
  <c r="Y8" i="2"/>
  <c r="X8" i="2"/>
  <c r="W8" i="2"/>
  <c r="V8" i="2"/>
  <c r="U8" i="2"/>
  <c r="T8" i="2"/>
  <c r="S8" i="2"/>
  <c r="R8" i="2"/>
  <c r="Q8" i="2"/>
  <c r="P8" i="2"/>
  <c r="Z7" i="2"/>
  <c r="Y7" i="2"/>
  <c r="X7" i="2"/>
  <c r="W7" i="2"/>
  <c r="V7" i="2"/>
  <c r="U7" i="2"/>
  <c r="T7" i="2"/>
  <c r="S7" i="2"/>
  <c r="R7" i="2"/>
  <c r="Q7" i="2"/>
  <c r="P7" i="2"/>
  <c r="Z6" i="2"/>
  <c r="Y6" i="2"/>
  <c r="X6" i="2"/>
  <c r="W6" i="2"/>
  <c r="V6" i="2"/>
  <c r="U6" i="2"/>
  <c r="T6" i="2"/>
  <c r="S6" i="2"/>
  <c r="R6" i="2"/>
  <c r="Q6" i="2"/>
  <c r="P6" i="2"/>
  <c r="Z5" i="2"/>
  <c r="Y5" i="2"/>
  <c r="X5" i="2"/>
  <c r="W5" i="2"/>
  <c r="V5" i="2"/>
  <c r="U5" i="2"/>
  <c r="T5" i="2"/>
  <c r="S5" i="2"/>
  <c r="R5" i="2"/>
  <c r="Q5" i="2"/>
  <c r="P5" i="2"/>
  <c r="Z4" i="2"/>
  <c r="Y4" i="2"/>
  <c r="X4" i="2"/>
  <c r="W4" i="2"/>
  <c r="V4" i="2"/>
  <c r="U4" i="2"/>
  <c r="T4" i="2"/>
  <c r="S4" i="2"/>
  <c r="R4" i="2"/>
  <c r="Q4" i="2"/>
  <c r="P4" i="2"/>
  <c r="Z3" i="2"/>
  <c r="Y3" i="2"/>
  <c r="X3" i="2"/>
  <c r="W3" i="2"/>
  <c r="V3" i="2"/>
  <c r="U3" i="2"/>
  <c r="T3" i="2"/>
  <c r="S3" i="2"/>
  <c r="R3" i="2"/>
  <c r="Q3" i="2"/>
  <c r="P3" i="2"/>
  <c r="L91" i="3"/>
  <c r="L92" i="3" s="1"/>
  <c r="K91" i="3"/>
  <c r="K92" i="3" s="1"/>
  <c r="J91" i="3"/>
  <c r="J92" i="3" s="1"/>
  <c r="I91" i="3"/>
  <c r="I92" i="3" s="1"/>
  <c r="H91" i="3"/>
  <c r="H92" i="3" s="1"/>
  <c r="G91" i="3"/>
  <c r="G92" i="3" s="1"/>
  <c r="F91" i="3"/>
  <c r="F92" i="3" s="1"/>
  <c r="E91" i="3"/>
  <c r="E92" i="3" s="1"/>
  <c r="D91" i="3"/>
  <c r="D92" i="3" s="1"/>
  <c r="C91" i="3"/>
  <c r="C92" i="3" s="1"/>
  <c r="B91" i="3"/>
  <c r="B92" i="3" s="1"/>
  <c r="L89" i="3"/>
  <c r="L90" i="3" s="1"/>
  <c r="K89" i="3"/>
  <c r="K90" i="3" s="1"/>
  <c r="J89" i="3"/>
  <c r="J90" i="3" s="1"/>
  <c r="I89" i="3"/>
  <c r="I90" i="3" s="1"/>
  <c r="H89" i="3"/>
  <c r="H90" i="3" s="1"/>
  <c r="G89" i="3"/>
  <c r="G90" i="3" s="1"/>
  <c r="F89" i="3"/>
  <c r="F90" i="3" s="1"/>
  <c r="E89" i="3"/>
  <c r="E90" i="3" s="1"/>
  <c r="D89" i="3"/>
  <c r="D90" i="3" s="1"/>
  <c r="C89" i="3"/>
  <c r="C90" i="3" s="1"/>
  <c r="B89" i="3"/>
  <c r="B90" i="3" s="1"/>
  <c r="L88" i="3"/>
  <c r="Z89" i="3" s="1"/>
  <c r="K88" i="3"/>
  <c r="Y89" i="3" s="1"/>
  <c r="J88" i="3"/>
  <c r="X89" i="3" s="1"/>
  <c r="I88" i="3"/>
  <c r="W89" i="3" s="1"/>
  <c r="H88" i="3"/>
  <c r="V89" i="3" s="1"/>
  <c r="G88" i="3"/>
  <c r="U89" i="3" s="1"/>
  <c r="U91" i="3" s="1"/>
  <c r="F88" i="3"/>
  <c r="T89" i="3" s="1"/>
  <c r="E88" i="3"/>
  <c r="S89" i="3" s="1"/>
  <c r="S91" i="3" s="1"/>
  <c r="D88" i="3"/>
  <c r="R89" i="3" s="1"/>
  <c r="C88" i="3"/>
  <c r="Q89" i="3" s="1"/>
  <c r="B88" i="3"/>
  <c r="P89" i="3" s="1"/>
  <c r="P91" i="3" s="1"/>
  <c r="L86" i="3"/>
  <c r="K86" i="3"/>
  <c r="J86" i="3"/>
  <c r="I86" i="3"/>
  <c r="H86" i="3"/>
  <c r="G86" i="3"/>
  <c r="F86" i="3"/>
  <c r="E86" i="3"/>
  <c r="D86" i="3"/>
  <c r="C86" i="3"/>
  <c r="B86" i="3"/>
  <c r="L85" i="3"/>
  <c r="K85" i="3"/>
  <c r="J85" i="3"/>
  <c r="I85" i="3"/>
  <c r="H85" i="3"/>
  <c r="G85" i="3"/>
  <c r="F85" i="3"/>
  <c r="E85" i="3"/>
  <c r="D85" i="3"/>
  <c r="C85" i="3"/>
  <c r="B85" i="3"/>
  <c r="Q91" i="3" l="1"/>
  <c r="J87" i="3"/>
  <c r="I87" i="3"/>
  <c r="T91" i="3"/>
  <c r="K87" i="3"/>
  <c r="C87" i="3"/>
  <c r="D87" i="3"/>
  <c r="H87" i="3"/>
  <c r="V91" i="3"/>
  <c r="Y91" i="3"/>
  <c r="R91" i="3"/>
  <c r="X91" i="3"/>
  <c r="W91" i="3"/>
  <c r="Z91" i="3"/>
  <c r="E87" i="3"/>
  <c r="F87" i="3"/>
  <c r="G87" i="3"/>
  <c r="L87" i="3"/>
  <c r="B87" i="3"/>
  <c r="G46" i="1"/>
  <c r="G45" i="1"/>
  <c r="G44" i="1"/>
  <c r="G43" i="1"/>
  <c r="G42" i="1"/>
  <c r="G41" i="1"/>
  <c r="G40" i="1"/>
  <c r="G39" i="1"/>
  <c r="G38" i="1"/>
  <c r="G37" i="1"/>
  <c r="I46" i="1"/>
  <c r="I45" i="1"/>
  <c r="I44" i="1"/>
  <c r="I43" i="1"/>
  <c r="I42" i="1"/>
  <c r="I41" i="1"/>
  <c r="I40" i="1"/>
  <c r="I39" i="1"/>
  <c r="I38" i="1"/>
  <c r="I37" i="1"/>
  <c r="I36" i="1"/>
  <c r="G36" i="1"/>
  <c r="H46" i="1"/>
  <c r="H45" i="1"/>
  <c r="H44" i="1"/>
  <c r="H43" i="1"/>
  <c r="H42" i="1"/>
  <c r="H41" i="1"/>
  <c r="H40" i="1"/>
  <c r="H39" i="1"/>
  <c r="H38" i="1"/>
  <c r="H37" i="1"/>
  <c r="F46" i="1"/>
  <c r="F45" i="1"/>
  <c r="F44" i="1"/>
  <c r="F43" i="1"/>
  <c r="F42" i="1"/>
  <c r="F41" i="1"/>
  <c r="F40" i="1"/>
  <c r="F39" i="1"/>
  <c r="F38" i="1"/>
  <c r="F37" i="1"/>
  <c r="H36" i="1"/>
  <c r="F36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E39" i="1"/>
  <c r="D39" i="1"/>
  <c r="C39" i="1"/>
  <c r="E38" i="1"/>
  <c r="D38" i="1"/>
  <c r="C38" i="1"/>
  <c r="E37" i="1"/>
  <c r="D37" i="1"/>
  <c r="C37" i="1"/>
  <c r="E36" i="1"/>
  <c r="D36" i="1"/>
  <c r="C36" i="1"/>
  <c r="B46" i="1"/>
  <c r="B45" i="1"/>
  <c r="B44" i="1"/>
  <c r="B43" i="1"/>
  <c r="B42" i="1"/>
  <c r="B41" i="1"/>
  <c r="B40" i="1"/>
  <c r="B39" i="1"/>
  <c r="B38" i="1"/>
  <c r="B37" i="1"/>
  <c r="B36" i="1"/>
</calcChain>
</file>

<file path=xl/sharedStrings.xml><?xml version="1.0" encoding="utf-8"?>
<sst xmlns="http://schemas.openxmlformats.org/spreadsheetml/2006/main" count="1142" uniqueCount="161">
  <si>
    <t>EXHIBIT 1</t>
  </si>
  <si>
    <t>AUTHORS</t>
  </si>
  <si>
    <t>Annualized</t>
  </si>
  <si>
    <t>Correlation</t>
  </si>
  <si>
    <t>Maximum</t>
  </si>
  <si>
    <t>Month of</t>
  </si>
  <si>
    <t>Minimum</t>
  </si>
  <si>
    <t>Excess</t>
  </si>
  <si>
    <t>Standard</t>
  </si>
  <si>
    <t>Sharpe</t>
  </si>
  <si>
    <t>With</t>
  </si>
  <si>
    <t>Monthly</t>
  </si>
  <si>
    <t>Portfolio</t>
  </si>
  <si>
    <t>Return</t>
  </si>
  <si>
    <t>Deviation</t>
  </si>
  <si>
    <t>Ratio</t>
  </si>
  <si>
    <t>S&amp;P 500</t>
  </si>
  <si>
    <t>Aggregate Hedge Fund Index</t>
  </si>
  <si>
    <t>Convertible Arbitrage</t>
  </si>
  <si>
    <t>Event-Driven</t>
  </si>
  <si>
    <t>Equity Market-Neutral</t>
  </si>
  <si>
    <t>Fixed-Income Arbitrage</t>
  </si>
  <si>
    <t>Long/Short Equity</t>
  </si>
  <si>
    <t>Emerging Markets</t>
  </si>
  <si>
    <t>Global Macro</t>
  </si>
  <si>
    <t>Managed Futures</t>
  </si>
  <si>
    <t>Dedicated Short Bias</t>
  </si>
  <si>
    <t>REPLICATION</t>
  </si>
  <si>
    <t>DIFFERENCE to AUTHORS</t>
  </si>
  <si>
    <t>Credit Suisse Hedge Fund Index</t>
  </si>
  <si>
    <t>Credit Suisse Convertible Arbitrate Hedge Fund Index</t>
  </si>
  <si>
    <t>Credit Suisse Event-Driven Hedge Fund Index</t>
  </si>
  <si>
    <t>Credit Suisse Equity Market-Neutral Hedge Fund Index</t>
  </si>
  <si>
    <t>Credit Suisse Fixed-Income Arbitrage Hedge Fund Index</t>
  </si>
  <si>
    <t>Credit Suisse Long/Short Equity Hedge Fund Index</t>
  </si>
  <si>
    <t>Credit Suisse Emerging Markets Hedge Fund Index</t>
  </si>
  <si>
    <t>Credit Suisse Global Macro Hedge Fund Index</t>
  </si>
  <si>
    <t>Credit Suisse Managed Futures Hedge Fund Index</t>
  </si>
  <si>
    <t>Credit Suisse Dedicated Short Bias Hedge Fund Index</t>
  </si>
  <si>
    <t>S&amp;P 500 Index</t>
  </si>
  <si>
    <t>HEDG</t>
  </si>
  <si>
    <t>HEDG_CVARB</t>
  </si>
  <si>
    <t>HEDG_EVDRV</t>
  </si>
  <si>
    <t>HEDG_EQNTR</t>
  </si>
  <si>
    <t>HEDG_FIARB</t>
  </si>
  <si>
    <t>HEDG_LOSHO</t>
  </si>
  <si>
    <t>HEDG_EMMKT</t>
  </si>
  <si>
    <t>HEDG_GLMAC</t>
  </si>
  <si>
    <t>HEDG_MGFUT</t>
  </si>
  <si>
    <t>HEDG_DEDSH</t>
  </si>
  <si>
    <t>SnP</t>
  </si>
  <si>
    <t>Date</t>
  </si>
  <si>
    <t>ROR</t>
  </si>
  <si>
    <t>Annual Ex Rtrn</t>
  </si>
  <si>
    <t>Annual Std Dev</t>
  </si>
  <si>
    <t>Sharpe Ratio</t>
  </si>
  <si>
    <t>Monthly Corr</t>
  </si>
  <si>
    <t>Max Rtrn</t>
  </si>
  <si>
    <t>Min Rtrn</t>
  </si>
  <si>
    <t>Month of Max Rtrn</t>
  </si>
  <si>
    <t>Month of Min Rtrn</t>
  </si>
  <si>
    <t>Quarterly Annual Std Dev</t>
  </si>
  <si>
    <t>Qtr vs Mo % Diff</t>
  </si>
  <si>
    <t>Quarterly Corr</t>
  </si>
  <si>
    <t>Qtr vs Mo Diff</t>
  </si>
  <si>
    <t>EXHIBIT 3</t>
  </si>
  <si>
    <t xml:space="preserve"> </t>
  </si>
  <si>
    <t>Quarterly</t>
  </si>
  <si>
    <t>vs. Monthly</t>
  </si>
  <si>
    <t>with</t>
  </si>
  <si>
    <t>% Difference</t>
  </si>
  <si>
    <t>Difference</t>
  </si>
  <si>
    <t>REPLICATED</t>
  </si>
  <si>
    <t>Risk Free Rate</t>
  </si>
  <si>
    <t>Emerging Markets*</t>
  </si>
  <si>
    <t>Long/Short Equity*</t>
  </si>
  <si>
    <t>Equity Market-Neutral*</t>
  </si>
  <si>
    <t>Aggregate Index*</t>
  </si>
  <si>
    <t>(Annualized %)</t>
  </si>
  <si>
    <t>Adjusted</t>
  </si>
  <si>
    <t>Beta vs.</t>
  </si>
  <si>
    <t>Alpha</t>
  </si>
  <si>
    <t>Monthly Regressions</t>
  </si>
  <si>
    <t>EXHIBIT 2</t>
  </si>
  <si>
    <t>Intercept</t>
  </si>
  <si>
    <t>Upper 99.0%</t>
  </si>
  <si>
    <t>Lower 99.0%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</si>
  <si>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</si>
  <si>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</si>
  <si>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</si>
  <si>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</si>
  <si>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</si>
  <si>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</si>
  <si>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</si>
  <si>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</si>
  <si>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</si>
  <si>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</si>
  <si>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</si>
  <si>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</si>
  <si>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</si>
  <si>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</si>
  <si>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</si>
  <si>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</si>
  <si>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</si>
  <si>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</si>
  <si>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</si>
  <si>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</si>
  <si>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</si>
  <si>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HEDG_DEDSH Regression</t>
  </si>
  <si>
    <t>HEDG_MGFUT Regression</t>
  </si>
  <si>
    <t>HEDG_GLMAC Regression</t>
  </si>
  <si>
    <t>HEDG_EMMKT Regression</t>
  </si>
  <si>
    <t>HEDG_LOSHO Regression</t>
  </si>
  <si>
    <t>HEDG_FIARB Regression</t>
  </si>
  <si>
    <t>HEDG_EQNTR Regression</t>
  </si>
  <si>
    <t>HEDG_EVDRV Regression</t>
  </si>
  <si>
    <t>HEDG_CVARB Regression</t>
  </si>
  <si>
    <t>HEDG Regression</t>
  </si>
  <si>
    <t>Betas (=0)</t>
  </si>
  <si>
    <t>S&amp;P 500(t-3)</t>
  </si>
  <si>
    <t>S&amp;P 500(t-2)</t>
  </si>
  <si>
    <t>S&amp;P 500(t-1)</t>
  </si>
  <si>
    <t>S&amp;P 500(t)</t>
  </si>
  <si>
    <t>Sum Lagged</t>
  </si>
  <si>
    <t>Sum All</t>
  </si>
  <si>
    <t>Beta with</t>
  </si>
  <si>
    <t>Hypothesis Testing</t>
  </si>
  <si>
    <t>Regression Coefficients and t-Statistics</t>
  </si>
  <si>
    <t>t-statistics and p-values on second line</t>
  </si>
  <si>
    <t>EXHIBIT 4A</t>
  </si>
  <si>
    <t>SnPL1</t>
  </si>
  <si>
    <t>SnPL2</t>
  </si>
  <si>
    <t>SnPL3</t>
  </si>
  <si>
    <t>Lower 95.0%</t>
  </si>
  <si>
    <t>Upper 95.0%</t>
  </si>
  <si>
    <t>X Variable 1</t>
  </si>
  <si>
    <t>X Variable 2</t>
  </si>
  <si>
    <t>X Variable 3</t>
  </si>
  <si>
    <t>X Variable 4</t>
  </si>
  <si>
    <r>
      <t>R</t>
    </r>
    <r>
      <rPr>
        <vertAlign val="superscript"/>
        <sz val="10"/>
        <rFont val="Calibri"/>
        <family val="2"/>
        <scheme val="minor"/>
      </rPr>
      <t>2</t>
    </r>
  </si>
  <si>
    <r>
      <t>R</t>
    </r>
    <r>
      <rPr>
        <vertAlign val="superscript"/>
        <sz val="10"/>
        <color indexed="58"/>
        <rFont val="Calibri"/>
        <family val="2"/>
        <scheme val="minor"/>
      </rPr>
      <t>2</t>
    </r>
  </si>
  <si>
    <r>
      <t>R</t>
    </r>
    <r>
      <rPr>
        <vertAlign val="superscript"/>
        <sz val="10"/>
        <color indexed="60"/>
        <rFont val="Calibri"/>
        <family val="2"/>
        <scheme val="minor"/>
      </rPr>
      <t>2</t>
    </r>
  </si>
  <si>
    <r>
      <t>R</t>
    </r>
    <r>
      <rPr>
        <vertAlign val="superscript"/>
        <sz val="10"/>
        <color indexed="18"/>
        <rFont val="Calibri"/>
        <family val="2"/>
        <scheme val="minor"/>
      </rPr>
      <t>2</t>
    </r>
  </si>
  <si>
    <t>Beta</t>
  </si>
  <si>
    <t>(B0+B1+B2+B3)</t>
  </si>
  <si>
    <t>(B1+B2+B3)</t>
  </si>
  <si>
    <t>(B0)</t>
  </si>
  <si>
    <t>Beta (Exhibit 2)</t>
  </si>
  <si>
    <t>Difference in</t>
  </si>
  <si>
    <t>Betas</t>
  </si>
  <si>
    <t>Total Summed</t>
  </si>
  <si>
    <t>Sum of Lagged</t>
  </si>
  <si>
    <t>Contemporaneous</t>
  </si>
  <si>
    <t>Betas from Lagged S&amp;P 500 Regressions (Exhibit 4A)</t>
  </si>
  <si>
    <t>Simple</t>
  </si>
  <si>
    <t>(4)-(1)</t>
  </si>
  <si>
    <t>(4)</t>
  </si>
  <si>
    <t>(3)</t>
  </si>
  <si>
    <t>(2)</t>
  </si>
  <si>
    <t>(1)</t>
  </si>
  <si>
    <t>EXHIBIT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</si>
</sst>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3" formatCode="_(* #,##0.00_);_(* \(#,##0.00\);_(* &quot;-&quot;??_);_(@_)"/>
    <numFmt numFmtId="164" formatCode="0.0%"/>
    <numFmt numFmtId="165" formatCode="[$-409]mmm\-yy;@"/>
    <numFmt numFmtId="166" formatCode="0.000"/>
    <numFmt numFmtId="167" formatCode="\(#,##0.00\)"/>
  </numFmts>
  <fonts count="34" x14ac:knownFonts="1">
    <font>
      <sz val="10"/>
      <name val="Arial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sz val="10"/>
      <color indexed="58"/>
      <name val="Arial"/>
      <family val="2"/>
    </font>
    <font>
      <b/>
      <sz val="10"/>
      <color indexed="58"/>
      <name val="Arial"/>
      <family val="2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color indexed="58"/>
      <name val="Calibri"/>
      <family val="2"/>
      <scheme val="minor"/>
    </font>
    <font>
      <sz val="10"/>
      <color indexed="58"/>
      <name val="Calibri"/>
      <family val="2"/>
      <scheme val="minor"/>
    </font>
    <font>
      <vertAlign val="superscript"/>
      <sz val="10"/>
      <color indexed="58"/>
      <name val="Calibri"/>
      <family val="2"/>
      <scheme val="minor"/>
    </font>
    <font>
      <b/>
      <sz val="10"/>
      <color indexed="60"/>
      <name val="Calibri"/>
      <family val="2"/>
      <scheme val="minor"/>
    </font>
    <font>
      <sz val="10"/>
      <color indexed="60"/>
      <name val="Calibri"/>
      <family val="2"/>
      <scheme val="minor"/>
    </font>
    <font>
      <vertAlign val="superscript"/>
      <sz val="10"/>
      <color indexed="6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color indexed="18"/>
      <name val="Calibri"/>
      <family val="2"/>
      <scheme val="minor"/>
    </font>
    <font>
      <vertAlign val="superscript"/>
      <sz val="10"/>
      <color indexed="18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u/>
      <sz val="10"/>
      <color indexed="18"/>
      <name val="Arial"/>
      <family val="2"/>
    </font>
    <font>
      <u/>
      <sz val="10"/>
      <color indexed="60"/>
      <name val="Arial"/>
      <family val="2"/>
    </font>
    <font>
      <u/>
      <sz val="10"/>
      <color indexed="5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17" fontId="2" fillId="0" borderId="0" xfId="0" applyNumberFormat="1" applyFont="1"/>
    <xf numFmtId="0" fontId="4" fillId="0" borderId="0" xfId="1"/>
    <xf numFmtId="0" fontId="5" fillId="0" borderId="0" xfId="1" applyFont="1"/>
    <xf numFmtId="0" fontId="5" fillId="0" borderId="17" xfId="1" applyFont="1" applyBorder="1" applyAlignment="1">
      <alignment vertical="center"/>
    </xf>
    <xf numFmtId="0" fontId="5" fillId="0" borderId="19" xfId="1" applyFont="1" applyBorder="1"/>
    <xf numFmtId="0" fontId="3" fillId="0" borderId="0" xfId="1" applyFont="1"/>
    <xf numFmtId="164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2" fontId="7" fillId="0" borderId="5" xfId="1" applyNumberFormat="1" applyFont="1" applyBorder="1" applyAlignment="1">
      <alignment horizontal="center"/>
    </xf>
    <xf numFmtId="2" fontId="7" fillId="0" borderId="10" xfId="1" applyNumberFormat="1" applyFont="1" applyBorder="1" applyAlignment="1">
      <alignment horizontal="center"/>
    </xf>
    <xf numFmtId="2" fontId="9" fillId="0" borderId="10" xfId="1" applyNumberFormat="1" applyFont="1" applyBorder="1" applyAlignment="1">
      <alignment horizontal="center"/>
    </xf>
    <xf numFmtId="2" fontId="9" fillId="0" borderId="0" xfId="1" applyNumberFormat="1" applyFont="1" applyAlignment="1">
      <alignment horizontal="center"/>
    </xf>
    <xf numFmtId="2" fontId="11" fillId="0" borderId="10" xfId="1" applyNumberFormat="1" applyFont="1" applyBorder="1" applyAlignment="1">
      <alignment horizontal="center"/>
    </xf>
    <xf numFmtId="0" fontId="0" fillId="0" borderId="10" xfId="0" applyBorder="1"/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Continuous"/>
    </xf>
    <xf numFmtId="0" fontId="13" fillId="0" borderId="0" xfId="1" applyFont="1"/>
    <xf numFmtId="0" fontId="14" fillId="0" borderId="20" xfId="1" applyFont="1" applyBorder="1" applyAlignment="1">
      <alignment horizontal="centerContinuous"/>
    </xf>
    <xf numFmtId="0" fontId="14" fillId="0" borderId="20" xfId="1" applyFont="1" applyBorder="1" applyAlignment="1">
      <alignment horizontal="center"/>
    </xf>
    <xf numFmtId="0" fontId="15" fillId="0" borderId="0" xfId="1" applyFont="1"/>
    <xf numFmtId="0" fontId="13" fillId="0" borderId="0" xfId="0" applyFont="1"/>
    <xf numFmtId="0" fontId="15" fillId="0" borderId="0" xfId="0" applyFont="1"/>
    <xf numFmtId="0" fontId="14" fillId="0" borderId="20" xfId="0" applyFont="1" applyBorder="1" applyAlignment="1">
      <alignment horizontal="centerContinuous"/>
    </xf>
    <xf numFmtId="0" fontId="15" fillId="0" borderId="10" xfId="0" applyFont="1" applyBorder="1"/>
    <xf numFmtId="0" fontId="14" fillId="0" borderId="20" xfId="0" applyFont="1" applyBorder="1" applyAlignment="1">
      <alignment horizontal="center"/>
    </xf>
    <xf numFmtId="0" fontId="16" fillId="0" borderId="0" xfId="1" applyFont="1"/>
    <xf numFmtId="0" fontId="16" fillId="0" borderId="10" xfId="1" applyFont="1" applyBorder="1"/>
    <xf numFmtId="0" fontId="17" fillId="0" borderId="0" xfId="0" applyFont="1"/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8" fillId="0" borderId="0" xfId="0" applyFont="1"/>
    <xf numFmtId="0" fontId="17" fillId="0" borderId="1" xfId="0" applyFont="1" applyBorder="1"/>
    <xf numFmtId="164" fontId="18" fillId="0" borderId="2" xfId="0" applyNumberFormat="1" applyFont="1" applyBorder="1" applyAlignment="1">
      <alignment horizontal="center"/>
    </xf>
    <xf numFmtId="2" fontId="18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165" fontId="18" fillId="0" borderId="3" xfId="0" applyNumberFormat="1" applyFont="1" applyBorder="1" applyAlignment="1">
      <alignment horizontal="center"/>
    </xf>
    <xf numFmtId="0" fontId="18" fillId="0" borderId="4" xfId="0" applyFont="1" applyBorder="1"/>
    <xf numFmtId="165" fontId="18" fillId="0" borderId="5" xfId="0" applyNumberFormat="1" applyFont="1" applyBorder="1" applyAlignment="1">
      <alignment horizontal="center"/>
    </xf>
    <xf numFmtId="0" fontId="18" fillId="0" borderId="6" xfId="0" applyFont="1" applyBorder="1"/>
    <xf numFmtId="164" fontId="18" fillId="0" borderId="7" xfId="0" applyNumberFormat="1" applyFont="1" applyBorder="1" applyAlignment="1">
      <alignment horizontal="center"/>
    </xf>
    <xf numFmtId="2" fontId="18" fillId="0" borderId="7" xfId="0" applyNumberFormat="1" applyFont="1" applyBorder="1" applyAlignment="1">
      <alignment horizontal="center"/>
    </xf>
    <xf numFmtId="165" fontId="18" fillId="0" borderId="7" xfId="0" applyNumberFormat="1" applyFont="1" applyBorder="1" applyAlignment="1">
      <alignment horizontal="center"/>
    </xf>
    <xf numFmtId="165" fontId="18" fillId="0" borderId="8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0" fontId="13" fillId="0" borderId="18" xfId="1" applyFont="1" applyBorder="1"/>
    <xf numFmtId="0" fontId="4" fillId="0" borderId="16" xfId="1" applyBorder="1"/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10" fontId="15" fillId="0" borderId="1" xfId="1" applyNumberFormat="1" applyFont="1" applyBorder="1" applyAlignment="1">
      <alignment horizontal="center" vertical="center"/>
    </xf>
    <xf numFmtId="2" fontId="15" fillId="0" borderId="2" xfId="1" applyNumberFormat="1" applyFont="1" applyBorder="1" applyAlignment="1">
      <alignment horizontal="center" vertical="center"/>
    </xf>
    <xf numFmtId="167" fontId="15" fillId="0" borderId="9" xfId="1" applyNumberFormat="1" applyFont="1" applyBorder="1" applyAlignment="1">
      <alignment horizontal="center" vertical="center"/>
    </xf>
    <xf numFmtId="167" fontId="15" fillId="0" borderId="10" xfId="1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/>
    </xf>
    <xf numFmtId="0" fontId="17" fillId="0" borderId="4" xfId="0" applyFont="1" applyBorder="1"/>
    <xf numFmtId="2" fontId="18" fillId="0" borderId="5" xfId="0" applyNumberFormat="1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0" fontId="18" fillId="0" borderId="9" xfId="0" applyFont="1" applyBorder="1"/>
    <xf numFmtId="164" fontId="18" fillId="0" borderId="10" xfId="0" applyNumberFormat="1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15" xfId="0" applyNumberFormat="1" applyFont="1" applyBorder="1" applyAlignment="1">
      <alignment horizontal="center"/>
    </xf>
    <xf numFmtId="0" fontId="4" fillId="0" borderId="0" xfId="1" applyAlignment="1">
      <alignment horizontal="center"/>
    </xf>
    <xf numFmtId="43" fontId="4" fillId="0" borderId="0" xfId="1" applyNumberFormat="1"/>
    <xf numFmtId="0" fontId="20" fillId="0" borderId="18" xfId="1" applyFont="1" applyBorder="1"/>
    <xf numFmtId="0" fontId="21" fillId="0" borderId="18" xfId="1" applyFont="1" applyBorder="1" applyAlignment="1">
      <alignment horizontal="center"/>
    </xf>
    <xf numFmtId="0" fontId="21" fillId="0" borderId="19" xfId="1" applyFont="1" applyBorder="1"/>
    <xf numFmtId="0" fontId="21" fillId="0" borderId="1" xfId="1" applyFont="1" applyBorder="1" applyAlignment="1">
      <alignment horizontal="center"/>
    </xf>
    <xf numFmtId="0" fontId="21" fillId="0" borderId="2" xfId="1" applyFont="1" applyBorder="1" applyAlignment="1">
      <alignment horizontal="center"/>
    </xf>
    <xf numFmtId="0" fontId="21" fillId="0" borderId="19" xfId="1" applyFont="1" applyBorder="1" applyAlignment="1">
      <alignment horizontal="center"/>
    </xf>
    <xf numFmtId="0" fontId="21" fillId="0" borderId="3" xfId="1" applyFont="1" applyBorder="1" applyAlignment="1">
      <alignment horizontal="center"/>
    </xf>
    <xf numFmtId="0" fontId="21" fillId="0" borderId="17" xfId="1" applyFont="1" applyBorder="1"/>
    <xf numFmtId="0" fontId="21" fillId="0" borderId="9" xfId="1" applyFont="1" applyBorder="1" applyAlignment="1">
      <alignment horizontal="center"/>
    </xf>
    <xf numFmtId="0" fontId="21" fillId="0" borderId="10" xfId="1" applyFont="1" applyBorder="1" applyAlignment="1">
      <alignment horizontal="center"/>
    </xf>
    <xf numFmtId="0" fontId="21" fillId="0" borderId="17" xfId="1" applyFont="1" applyBorder="1" applyAlignment="1">
      <alignment horizontal="center"/>
    </xf>
    <xf numFmtId="0" fontId="21" fillId="0" borderId="4" xfId="1" applyFont="1" applyBorder="1" applyAlignment="1">
      <alignment horizontal="center"/>
    </xf>
    <xf numFmtId="0" fontId="21" fillId="0" borderId="5" xfId="1" applyFont="1" applyBorder="1" applyAlignment="1">
      <alignment horizontal="center"/>
    </xf>
    <xf numFmtId="10" fontId="21" fillId="0" borderId="1" xfId="1" applyNumberFormat="1" applyFont="1" applyBorder="1" applyAlignment="1">
      <alignment horizontal="center"/>
    </xf>
    <xf numFmtId="2" fontId="21" fillId="0" borderId="2" xfId="1" applyNumberFormat="1" applyFont="1" applyBorder="1" applyAlignment="1">
      <alignment horizontal="center"/>
    </xf>
    <xf numFmtId="2" fontId="21" fillId="0" borderId="9" xfId="1" applyNumberFormat="1" applyFont="1" applyBorder="1" applyAlignment="1">
      <alignment horizontal="center"/>
    </xf>
    <xf numFmtId="2" fontId="21" fillId="0" borderId="10" xfId="1" applyNumberFormat="1" applyFont="1" applyBorder="1" applyAlignment="1">
      <alignment horizontal="center"/>
    </xf>
    <xf numFmtId="164" fontId="21" fillId="0" borderId="9" xfId="1" applyNumberFormat="1" applyFont="1" applyBorder="1" applyAlignment="1">
      <alignment horizontal="center"/>
    </xf>
    <xf numFmtId="164" fontId="21" fillId="0" borderId="11" xfId="1" applyNumberFormat="1" applyFont="1" applyBorder="1" applyAlignment="1">
      <alignment horizontal="center"/>
    </xf>
    <xf numFmtId="164" fontId="21" fillId="0" borderId="4" xfId="1" applyNumberFormat="1" applyFont="1" applyBorder="1" applyAlignment="1">
      <alignment horizontal="center"/>
    </xf>
    <xf numFmtId="164" fontId="21" fillId="0" borderId="5" xfId="1" applyNumberFormat="1" applyFont="1" applyBorder="1" applyAlignment="1">
      <alignment horizontal="center"/>
    </xf>
    <xf numFmtId="0" fontId="23" fillId="0" borderId="18" xfId="1" applyFont="1" applyBorder="1"/>
    <xf numFmtId="0" fontId="24" fillId="0" borderId="18" xfId="1" applyFont="1" applyBorder="1" applyAlignment="1">
      <alignment horizontal="center"/>
    </xf>
    <xf numFmtId="0" fontId="24" fillId="0" borderId="19" xfId="1" applyFont="1" applyBorder="1"/>
    <xf numFmtId="0" fontId="24" fillId="0" borderId="1" xfId="1" applyFont="1" applyBorder="1" applyAlignment="1">
      <alignment horizontal="center"/>
    </xf>
    <xf numFmtId="0" fontId="24" fillId="0" borderId="2" xfId="1" applyFont="1" applyBorder="1" applyAlignment="1">
      <alignment horizontal="center"/>
    </xf>
    <xf numFmtId="0" fontId="24" fillId="0" borderId="19" xfId="1" applyFont="1" applyBorder="1" applyAlignment="1">
      <alignment horizontal="center"/>
    </xf>
    <xf numFmtId="0" fontId="24" fillId="0" borderId="3" xfId="1" applyFont="1" applyBorder="1" applyAlignment="1">
      <alignment horizontal="center"/>
    </xf>
    <xf numFmtId="0" fontId="24" fillId="0" borderId="17" xfId="1" applyFont="1" applyBorder="1"/>
    <xf numFmtId="0" fontId="24" fillId="0" borderId="9" xfId="1" applyFont="1" applyBorder="1" applyAlignment="1">
      <alignment horizontal="center"/>
    </xf>
    <xf numFmtId="0" fontId="24" fillId="0" borderId="10" xfId="1" applyFont="1" applyBorder="1" applyAlignment="1">
      <alignment horizontal="center"/>
    </xf>
    <xf numFmtId="0" fontId="24" fillId="0" borderId="17" xfId="1" applyFont="1" applyBorder="1" applyAlignment="1">
      <alignment horizontal="center"/>
    </xf>
    <xf numFmtId="0" fontId="24" fillId="0" borderId="4" xfId="1" applyFont="1" applyBorder="1" applyAlignment="1">
      <alignment horizontal="center"/>
    </xf>
    <xf numFmtId="0" fontId="24" fillId="0" borderId="5" xfId="1" applyFont="1" applyBorder="1" applyAlignment="1">
      <alignment horizontal="center"/>
    </xf>
    <xf numFmtId="10" fontId="24" fillId="0" borderId="1" xfId="1" applyNumberFormat="1" applyFont="1" applyBorder="1" applyAlignment="1">
      <alignment horizontal="center"/>
    </xf>
    <xf numFmtId="2" fontId="24" fillId="0" borderId="2" xfId="1" applyNumberFormat="1" applyFont="1" applyBorder="1" applyAlignment="1">
      <alignment horizontal="center"/>
    </xf>
    <xf numFmtId="2" fontId="24" fillId="0" borderId="1" xfId="1" applyNumberFormat="1" applyFont="1" applyBorder="1" applyAlignment="1">
      <alignment horizontal="center"/>
    </xf>
    <xf numFmtId="2" fontId="24" fillId="0" borderId="3" xfId="1" applyNumberFormat="1" applyFont="1" applyBorder="1" applyAlignment="1">
      <alignment horizontal="center"/>
    </xf>
    <xf numFmtId="2" fontId="24" fillId="0" borderId="9" xfId="1" applyNumberFormat="1" applyFont="1" applyBorder="1" applyAlignment="1">
      <alignment horizontal="center"/>
    </xf>
    <xf numFmtId="2" fontId="24" fillId="0" borderId="10" xfId="1" applyNumberFormat="1" applyFont="1" applyBorder="1" applyAlignment="1">
      <alignment horizontal="center"/>
    </xf>
    <xf numFmtId="164" fontId="24" fillId="0" borderId="9" xfId="1" applyNumberFormat="1" applyFont="1" applyBorder="1" applyAlignment="1">
      <alignment horizontal="center"/>
    </xf>
    <xf numFmtId="164" fontId="24" fillId="0" borderId="11" xfId="1" applyNumberFormat="1" applyFont="1" applyBorder="1" applyAlignment="1">
      <alignment horizontal="center"/>
    </xf>
    <xf numFmtId="164" fontId="24" fillId="0" borderId="4" xfId="1" applyNumberFormat="1" applyFont="1" applyBorder="1" applyAlignment="1">
      <alignment horizontal="center"/>
    </xf>
    <xf numFmtId="164" fontId="24" fillId="0" borderId="5" xfId="1" applyNumberFormat="1" applyFont="1" applyBorder="1" applyAlignment="1">
      <alignment horizontal="center"/>
    </xf>
    <xf numFmtId="2" fontId="24" fillId="0" borderId="0" xfId="1" applyNumberFormat="1" applyFont="1" applyAlignment="1">
      <alignment horizontal="center"/>
    </xf>
    <xf numFmtId="0" fontId="26" fillId="0" borderId="18" xfId="1" applyFont="1" applyBorder="1"/>
    <xf numFmtId="0" fontId="27" fillId="0" borderId="18" xfId="1" applyFont="1" applyBorder="1" applyAlignment="1">
      <alignment horizontal="center"/>
    </xf>
    <xf numFmtId="0" fontId="27" fillId="0" borderId="19" xfId="1" applyFont="1" applyBorder="1"/>
    <xf numFmtId="0" fontId="27" fillId="0" borderId="1" xfId="1" applyFont="1" applyBorder="1" applyAlignment="1">
      <alignment horizontal="center"/>
    </xf>
    <xf numFmtId="0" fontId="27" fillId="0" borderId="2" xfId="1" applyFont="1" applyBorder="1" applyAlignment="1">
      <alignment horizontal="center"/>
    </xf>
    <xf numFmtId="0" fontId="27" fillId="0" borderId="19" xfId="1" applyFont="1" applyBorder="1" applyAlignment="1">
      <alignment horizontal="center"/>
    </xf>
    <xf numFmtId="0" fontId="27" fillId="0" borderId="3" xfId="1" applyFont="1" applyBorder="1" applyAlignment="1">
      <alignment horizontal="center"/>
    </xf>
    <xf numFmtId="0" fontId="27" fillId="0" borderId="17" xfId="1" applyFont="1" applyBorder="1"/>
    <xf numFmtId="0" fontId="27" fillId="0" borderId="9" xfId="1" applyFont="1" applyBorder="1" applyAlignment="1">
      <alignment horizontal="center"/>
    </xf>
    <xf numFmtId="0" fontId="27" fillId="0" borderId="10" xfId="1" applyFont="1" applyBorder="1" applyAlignment="1">
      <alignment horizontal="center"/>
    </xf>
    <xf numFmtId="0" fontId="27" fillId="0" borderId="17" xfId="1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5" xfId="1" applyFont="1" applyBorder="1" applyAlignment="1">
      <alignment horizontal="center"/>
    </xf>
    <xf numFmtId="10" fontId="27" fillId="0" borderId="1" xfId="1" applyNumberFormat="1" applyFont="1" applyBorder="1" applyAlignment="1">
      <alignment horizontal="center"/>
    </xf>
    <xf numFmtId="2" fontId="27" fillId="0" borderId="2" xfId="1" applyNumberFormat="1" applyFont="1" applyBorder="1" applyAlignment="1">
      <alignment horizontal="center"/>
    </xf>
    <xf numFmtId="2" fontId="27" fillId="0" borderId="1" xfId="1" applyNumberFormat="1" applyFont="1" applyBorder="1" applyAlignment="1">
      <alignment horizontal="center"/>
    </xf>
    <xf numFmtId="2" fontId="27" fillId="0" borderId="3" xfId="1" applyNumberFormat="1" applyFont="1" applyBorder="1" applyAlignment="1">
      <alignment horizontal="center"/>
    </xf>
    <xf numFmtId="2" fontId="27" fillId="0" borderId="9" xfId="1" applyNumberFormat="1" applyFont="1" applyBorder="1" applyAlignment="1">
      <alignment horizontal="center"/>
    </xf>
    <xf numFmtId="2" fontId="27" fillId="0" borderId="10" xfId="1" applyNumberFormat="1" applyFont="1" applyBorder="1" applyAlignment="1">
      <alignment horizontal="center"/>
    </xf>
    <xf numFmtId="164" fontId="27" fillId="0" borderId="9" xfId="1" applyNumberFormat="1" applyFont="1" applyBorder="1" applyAlignment="1">
      <alignment horizontal="center"/>
    </xf>
    <xf numFmtId="164" fontId="27" fillId="0" borderId="11" xfId="1" applyNumberFormat="1" applyFont="1" applyBorder="1" applyAlignment="1">
      <alignment horizontal="center"/>
    </xf>
    <xf numFmtId="2" fontId="27" fillId="0" borderId="4" xfId="1" applyNumberFormat="1" applyFont="1" applyBorder="1" applyAlignment="1">
      <alignment horizontal="center"/>
    </xf>
    <xf numFmtId="2" fontId="27" fillId="0" borderId="5" xfId="1" applyNumberFormat="1" applyFont="1" applyBorder="1" applyAlignment="1">
      <alignment horizontal="center"/>
    </xf>
    <xf numFmtId="164" fontId="27" fillId="0" borderId="4" xfId="1" applyNumberFormat="1" applyFont="1" applyBorder="1" applyAlignment="1">
      <alignment horizontal="center"/>
    </xf>
    <xf numFmtId="164" fontId="27" fillId="0" borderId="5" xfId="1" applyNumberFormat="1" applyFont="1" applyBorder="1" applyAlignment="1">
      <alignment horizontal="center"/>
    </xf>
    <xf numFmtId="2" fontId="27" fillId="0" borderId="0" xfId="1" applyNumberFormat="1" applyFont="1" applyAlignment="1">
      <alignment horizontal="center"/>
    </xf>
    <xf numFmtId="164" fontId="27" fillId="0" borderId="0" xfId="1" applyNumberFormat="1" applyFont="1" applyAlignment="1">
      <alignment horizontal="center" vertical="center"/>
    </xf>
    <xf numFmtId="164" fontId="27" fillId="0" borderId="0" xfId="1" applyNumberFormat="1" applyFont="1" applyAlignment="1">
      <alignment horizontal="center"/>
    </xf>
    <xf numFmtId="0" fontId="29" fillId="0" borderId="0" xfId="1" applyFont="1"/>
    <xf numFmtId="0" fontId="30" fillId="0" borderId="0" xfId="1" applyFont="1" applyAlignment="1">
      <alignment horizontal="center"/>
    </xf>
    <xf numFmtId="0" fontId="30" fillId="0" borderId="0" xfId="1" applyFont="1"/>
    <xf numFmtId="2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2" fontId="15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5" fontId="4" fillId="0" borderId="0" xfId="1" applyNumberFormat="1"/>
    <xf numFmtId="10" fontId="15" fillId="0" borderId="0" xfId="0" applyNumberFormat="1" applyFont="1"/>
    <xf numFmtId="164" fontId="15" fillId="0" borderId="0" xfId="0" applyNumberFormat="1" applyFont="1"/>
    <xf numFmtId="2" fontId="15" fillId="0" borderId="0" xfId="0" applyNumberFormat="1" applyFont="1"/>
    <xf numFmtId="166" fontId="15" fillId="0" borderId="0" xfId="0" applyNumberFormat="1" applyFont="1"/>
    <xf numFmtId="17" fontId="15" fillId="0" borderId="0" xfId="0" applyNumberFormat="1" applyFont="1"/>
    <xf numFmtId="2" fontId="7" fillId="0" borderId="11" xfId="1" applyNumberFormat="1" applyFont="1" applyBorder="1" applyAlignment="1">
      <alignment horizontal="center"/>
    </xf>
    <xf numFmtId="0" fontId="7" fillId="0" borderId="9" xfId="1" applyFont="1" applyBorder="1"/>
    <xf numFmtId="0" fontId="7" fillId="0" borderId="4" xfId="1" applyFont="1" applyBorder="1"/>
    <xf numFmtId="2" fontId="7" fillId="0" borderId="8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0" fontId="7" fillId="0" borderId="6" xfId="1" applyFont="1" applyBorder="1"/>
    <xf numFmtId="0" fontId="8" fillId="0" borderId="4" xfId="1" applyFont="1" applyBorder="1"/>
    <xf numFmtId="2" fontId="7" fillId="0" borderId="3" xfId="1" quotePrefix="1" applyNumberFormat="1" applyFont="1" applyBorder="1" applyAlignment="1">
      <alignment horizontal="center"/>
    </xf>
    <xf numFmtId="164" fontId="7" fillId="0" borderId="2" xfId="1" quotePrefix="1" applyNumberFormat="1" applyFont="1" applyBorder="1" applyAlignment="1">
      <alignment horizontal="center"/>
    </xf>
    <xf numFmtId="0" fontId="8" fillId="0" borderId="1" xfId="1" applyFont="1" applyBorder="1"/>
    <xf numFmtId="2" fontId="9" fillId="0" borderId="11" xfId="1" applyNumberFormat="1" applyFont="1" applyBorder="1" applyAlignment="1">
      <alignment horizontal="center"/>
    </xf>
    <xf numFmtId="0" fontId="9" fillId="0" borderId="9" xfId="1" applyFont="1" applyBorder="1"/>
    <xf numFmtId="2" fontId="9" fillId="0" borderId="5" xfId="1" applyNumberFormat="1" applyFont="1" applyBorder="1" applyAlignment="1">
      <alignment horizontal="center"/>
    </xf>
    <xf numFmtId="0" fontId="9" fillId="0" borderId="4" xfId="1" applyFont="1" applyBorder="1"/>
    <xf numFmtId="2" fontId="9" fillId="0" borderId="8" xfId="1" applyNumberFormat="1" applyFont="1" applyBorder="1" applyAlignment="1">
      <alignment horizontal="center"/>
    </xf>
    <xf numFmtId="2" fontId="9" fillId="0" borderId="7" xfId="1" applyNumberFormat="1" applyFont="1" applyBorder="1" applyAlignment="1">
      <alignment horizontal="center"/>
    </xf>
    <xf numFmtId="0" fontId="9" fillId="0" borderId="6" xfId="1" applyFont="1" applyBorder="1"/>
    <xf numFmtId="164" fontId="9" fillId="0" borderId="0" xfId="1" applyNumberFormat="1" applyFont="1" applyAlignment="1">
      <alignment horizontal="center"/>
    </xf>
    <xf numFmtId="0" fontId="10" fillId="0" borderId="4" xfId="1" applyFont="1" applyBorder="1"/>
    <xf numFmtId="2" fontId="9" fillId="0" borderId="3" xfId="1" quotePrefix="1" applyNumberFormat="1" applyFont="1" applyBorder="1" applyAlignment="1">
      <alignment horizontal="center"/>
    </xf>
    <xf numFmtId="164" fontId="9" fillId="0" borderId="2" xfId="1" quotePrefix="1" applyNumberFormat="1" applyFont="1" applyBorder="1" applyAlignment="1">
      <alignment horizontal="center"/>
    </xf>
    <xf numFmtId="0" fontId="10" fillId="0" borderId="1" xfId="1" applyFont="1" applyBorder="1"/>
    <xf numFmtId="2" fontId="11" fillId="0" borderId="11" xfId="1" applyNumberFormat="1" applyFont="1" applyBorder="1" applyAlignment="1">
      <alignment horizontal="center"/>
    </xf>
    <xf numFmtId="0" fontId="11" fillId="0" borderId="9" xfId="1" applyFont="1" applyBorder="1"/>
    <xf numFmtId="2" fontId="11" fillId="0" borderId="5" xfId="1" applyNumberFormat="1" applyFont="1" applyBorder="1" applyAlignment="1">
      <alignment horizontal="center"/>
    </xf>
    <xf numFmtId="2" fontId="11" fillId="0" borderId="0" xfId="1" applyNumberFormat="1" applyFont="1" applyAlignment="1">
      <alignment horizontal="center"/>
    </xf>
    <xf numFmtId="0" fontId="11" fillId="0" borderId="4" xfId="1" applyFont="1" applyBorder="1"/>
    <xf numFmtId="2" fontId="11" fillId="0" borderId="8" xfId="1" applyNumberFormat="1" applyFont="1" applyBorder="1" applyAlignment="1">
      <alignment horizontal="center"/>
    </xf>
    <xf numFmtId="2" fontId="11" fillId="0" borderId="7" xfId="1" applyNumberFormat="1" applyFont="1" applyBorder="1" applyAlignment="1">
      <alignment horizontal="center"/>
    </xf>
    <xf numFmtId="0" fontId="11" fillId="0" borderId="6" xfId="1" applyFont="1" applyBorder="1"/>
    <xf numFmtId="164" fontId="11" fillId="0" borderId="0" xfId="1" applyNumberFormat="1" applyFont="1" applyAlignment="1">
      <alignment horizontal="center"/>
    </xf>
    <xf numFmtId="0" fontId="12" fillId="0" borderId="4" xfId="1" applyFont="1" applyBorder="1"/>
    <xf numFmtId="2" fontId="11" fillId="0" borderId="3" xfId="1" quotePrefix="1" applyNumberFormat="1" applyFont="1" applyBorder="1" applyAlignment="1">
      <alignment horizontal="center"/>
    </xf>
    <xf numFmtId="164" fontId="11" fillId="0" borderId="2" xfId="1" quotePrefix="1" applyNumberFormat="1" applyFont="1" applyBorder="1" applyAlignment="1">
      <alignment horizontal="center"/>
    </xf>
    <xf numFmtId="0" fontId="12" fillId="0" borderId="1" xfId="1" applyFont="1" applyBorder="1"/>
    <xf numFmtId="2" fontId="4" fillId="0" borderId="0" xfId="1" applyNumberFormat="1" applyAlignment="1">
      <alignment horizontal="center"/>
    </xf>
    <xf numFmtId="164" fontId="4" fillId="0" borderId="0" xfId="1" applyNumberFormat="1" applyAlignment="1">
      <alignment horizontal="center"/>
    </xf>
    <xf numFmtId="2" fontId="27" fillId="0" borderId="11" xfId="1" applyNumberFormat="1" applyFont="1" applyBorder="1" applyAlignment="1">
      <alignment horizontal="center"/>
    </xf>
    <xf numFmtId="164" fontId="27" fillId="0" borderId="2" xfId="1" applyNumberFormat="1" applyFont="1" applyBorder="1" applyAlignment="1">
      <alignment horizontal="center"/>
    </xf>
    <xf numFmtId="0" fontId="5" fillId="0" borderId="18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164" fontId="15" fillId="0" borderId="3" xfId="1" applyNumberFormat="1" applyFont="1" applyBorder="1" applyAlignment="1">
      <alignment horizontal="center" vertical="center"/>
    </xf>
    <xf numFmtId="164" fontId="15" fillId="0" borderId="11" xfId="1" applyNumberFormat="1" applyFont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4" fontId="15" fillId="0" borderId="10" xfId="1" applyNumberFormat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164" fontId="15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30" fillId="0" borderId="0" xfId="1" applyFont="1" applyAlignment="1">
      <alignment vertical="center"/>
    </xf>
    <xf numFmtId="0" fontId="30" fillId="0" borderId="0" xfId="1" applyFont="1" applyAlignment="1">
      <alignment horizontal="center"/>
    </xf>
    <xf numFmtId="0" fontId="27" fillId="0" borderId="18" xfId="1" applyFont="1" applyBorder="1" applyAlignment="1">
      <alignment vertical="center"/>
    </xf>
    <xf numFmtId="0" fontId="27" fillId="0" borderId="17" xfId="1" applyFont="1" applyBorder="1" applyAlignment="1">
      <alignment vertical="center"/>
    </xf>
    <xf numFmtId="164" fontId="27" fillId="0" borderId="18" xfId="1" applyNumberFormat="1" applyFont="1" applyBorder="1" applyAlignment="1">
      <alignment horizontal="center" vertical="center"/>
    </xf>
    <xf numFmtId="164" fontId="27" fillId="0" borderId="17" xfId="1" applyNumberFormat="1" applyFont="1" applyBorder="1" applyAlignment="1">
      <alignment horizontal="center" vertical="center"/>
    </xf>
    <xf numFmtId="0" fontId="27" fillId="0" borderId="6" xfId="1" applyFont="1" applyBorder="1" applyAlignment="1">
      <alignment horizontal="center"/>
    </xf>
    <xf numFmtId="0" fontId="27" fillId="0" borderId="8" xfId="1" applyFont="1" applyBorder="1" applyAlignment="1">
      <alignment horizontal="center"/>
    </xf>
    <xf numFmtId="0" fontId="24" fillId="0" borderId="18" xfId="1" applyFont="1" applyBorder="1" applyAlignment="1">
      <alignment vertical="center"/>
    </xf>
    <xf numFmtId="0" fontId="24" fillId="0" borderId="17" xfId="1" applyFont="1" applyBorder="1" applyAlignment="1">
      <alignment vertical="center"/>
    </xf>
    <xf numFmtId="164" fontId="24" fillId="0" borderId="18" xfId="1" applyNumberFormat="1" applyFont="1" applyBorder="1" applyAlignment="1">
      <alignment horizontal="center" vertical="center"/>
    </xf>
    <xf numFmtId="164" fontId="24" fillId="0" borderId="17" xfId="1" applyNumberFormat="1" applyFont="1" applyBorder="1" applyAlignment="1">
      <alignment horizontal="center" vertical="center"/>
    </xf>
    <xf numFmtId="0" fontId="27" fillId="0" borderId="7" xfId="1" applyFont="1" applyBorder="1" applyAlignment="1">
      <alignment horizontal="center"/>
    </xf>
    <xf numFmtId="0" fontId="24" fillId="0" borderId="6" xfId="1" applyFont="1" applyBorder="1" applyAlignment="1">
      <alignment horizontal="center"/>
    </xf>
    <xf numFmtId="0" fontId="24" fillId="0" borderId="7" xfId="1" applyFont="1" applyBorder="1" applyAlignment="1">
      <alignment horizontal="center"/>
    </xf>
    <xf numFmtId="0" fontId="24" fillId="0" borderId="8" xfId="1" applyFont="1" applyBorder="1" applyAlignment="1">
      <alignment horizontal="center"/>
    </xf>
    <xf numFmtId="0" fontId="21" fillId="0" borderId="6" xfId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0" fontId="21" fillId="0" borderId="8" xfId="1" applyFont="1" applyBorder="1" applyAlignment="1">
      <alignment horizontal="center"/>
    </xf>
    <xf numFmtId="0" fontId="21" fillId="0" borderId="18" xfId="1" applyFont="1" applyBorder="1" applyAlignment="1">
      <alignment vertical="center"/>
    </xf>
    <xf numFmtId="0" fontId="21" fillId="0" borderId="17" xfId="1" applyFont="1" applyBorder="1" applyAlignment="1">
      <alignment vertical="center"/>
    </xf>
    <xf numFmtId="164" fontId="21" fillId="0" borderId="18" xfId="1" applyNumberFormat="1" applyFont="1" applyBorder="1" applyAlignment="1">
      <alignment horizontal="center" vertical="center"/>
    </xf>
    <xf numFmtId="164" fontId="21" fillId="0" borderId="17" xfId="1" applyNumberFormat="1" applyFont="1" applyBorder="1" applyAlignment="1">
      <alignment horizontal="center" vertical="center"/>
    </xf>
    <xf numFmtId="164" fontId="33" fillId="0" borderId="0" xfId="1" applyNumberFormat="1" applyFont="1" applyAlignment="1">
      <alignment horizontal="center"/>
    </xf>
    <xf numFmtId="164" fontId="32" fillId="0" borderId="0" xfId="1" applyNumberFormat="1" applyFont="1" applyAlignment="1">
      <alignment horizontal="center"/>
    </xf>
    <xf numFmtId="164" fontId="31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E7AC7EFF-3E9A-2945-AFA5-4A07FC2D9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F21" sqref="F21"/>
    </sheetView>
  </sheetViews>
  <sheetFormatPr baseColWidth="10" defaultColWidth="8.83203125" defaultRowHeight="14" x14ac:dyDescent="0.2"/>
  <cols>
    <col min="1" max="1" width="25.5" style="24" bestFit="1" customWidth="1"/>
    <col min="2" max="4" width="10.1640625" style="24" bestFit="1" customWidth="1"/>
    <col min="5" max="5" width="9.83203125" style="24" bestFit="1" customWidth="1"/>
    <col min="6" max="6" width="8.83203125" style="24"/>
    <col min="7" max="7" width="9.5" style="24" bestFit="1" customWidth="1"/>
    <col min="8" max="8" width="8.5" style="24" bestFit="1" customWidth="1"/>
    <col min="9" max="9" width="9.5" style="24" bestFit="1" customWidth="1"/>
    <col min="10" max="16384" width="8.83203125" style="24"/>
  </cols>
  <sheetData>
    <row r="1" spans="1:9" x14ac:dyDescent="0.2">
      <c r="A1" s="30" t="s">
        <v>0</v>
      </c>
      <c r="B1" s="31"/>
      <c r="C1" s="31"/>
      <c r="D1" s="32"/>
      <c r="E1" s="32"/>
      <c r="F1" s="31"/>
      <c r="G1" s="33"/>
      <c r="H1" s="31"/>
      <c r="I1" s="33"/>
    </row>
    <row r="2" spans="1:9" ht="15" thickBot="1" x14ac:dyDescent="0.25">
      <c r="A2" s="34"/>
      <c r="B2" s="31"/>
      <c r="C2" s="31"/>
      <c r="D2" s="32"/>
      <c r="E2" s="32"/>
      <c r="F2" s="31"/>
      <c r="G2" s="33"/>
      <c r="H2" s="31"/>
      <c r="I2" s="33"/>
    </row>
    <row r="3" spans="1:9" x14ac:dyDescent="0.2">
      <c r="A3" s="35" t="s">
        <v>1</v>
      </c>
      <c r="B3" s="36" t="s">
        <v>2</v>
      </c>
      <c r="C3" s="36" t="s">
        <v>2</v>
      </c>
      <c r="D3" s="37" t="s">
        <v>2</v>
      </c>
      <c r="E3" s="37" t="s">
        <v>3</v>
      </c>
      <c r="F3" s="36" t="s">
        <v>4</v>
      </c>
      <c r="G3" s="38" t="s">
        <v>5</v>
      </c>
      <c r="H3" s="36" t="s">
        <v>6</v>
      </c>
      <c r="I3" s="39" t="s">
        <v>5</v>
      </c>
    </row>
    <row r="4" spans="1:9" x14ac:dyDescent="0.2">
      <c r="A4" s="40"/>
      <c r="B4" s="31" t="s">
        <v>7</v>
      </c>
      <c r="C4" s="31" t="s">
        <v>8</v>
      </c>
      <c r="D4" s="32" t="s">
        <v>9</v>
      </c>
      <c r="E4" s="32" t="s">
        <v>10</v>
      </c>
      <c r="F4" s="31" t="s">
        <v>11</v>
      </c>
      <c r="G4" s="33" t="s">
        <v>4</v>
      </c>
      <c r="H4" s="31" t="s">
        <v>11</v>
      </c>
      <c r="I4" s="41" t="s">
        <v>6</v>
      </c>
    </row>
    <row r="5" spans="1:9" ht="15" thickBot="1" x14ac:dyDescent="0.25">
      <c r="A5" s="40" t="s">
        <v>12</v>
      </c>
      <c r="B5" s="31" t="s">
        <v>13</v>
      </c>
      <c r="C5" s="31" t="s">
        <v>14</v>
      </c>
      <c r="D5" s="32" t="s">
        <v>15</v>
      </c>
      <c r="E5" s="32" t="s">
        <v>16</v>
      </c>
      <c r="F5" s="31" t="s">
        <v>13</v>
      </c>
      <c r="G5" s="33" t="s">
        <v>13</v>
      </c>
      <c r="H5" s="31" t="s">
        <v>13</v>
      </c>
      <c r="I5" s="41" t="s">
        <v>13</v>
      </c>
    </row>
    <row r="6" spans="1:9" ht="15" thickBot="1" x14ac:dyDescent="0.25">
      <c r="A6" s="42" t="s">
        <v>17</v>
      </c>
      <c r="B6" s="43">
        <v>0.08</v>
      </c>
      <c r="C6" s="43">
        <v>0.1</v>
      </c>
      <c r="D6" s="44">
        <v>0.8</v>
      </c>
      <c r="E6" s="44">
        <v>0.52</v>
      </c>
      <c r="F6" s="43">
        <v>8.1000000000000003E-2</v>
      </c>
      <c r="G6" s="45">
        <v>36525</v>
      </c>
      <c r="H6" s="43">
        <v>-0.08</v>
      </c>
      <c r="I6" s="46">
        <v>36038</v>
      </c>
    </row>
    <row r="7" spans="1:9" x14ac:dyDescent="0.2">
      <c r="A7" s="40" t="s">
        <v>18</v>
      </c>
      <c r="B7" s="31">
        <v>5.3999999999999999E-2</v>
      </c>
      <c r="C7" s="31">
        <v>5.0999999999999997E-2</v>
      </c>
      <c r="D7" s="32">
        <v>1.07</v>
      </c>
      <c r="E7" s="32">
        <v>0.13</v>
      </c>
      <c r="F7" s="31">
        <v>3.1E-2</v>
      </c>
      <c r="G7" s="33">
        <v>36646</v>
      </c>
      <c r="H7" s="31">
        <v>-5.0999999999999997E-2</v>
      </c>
      <c r="I7" s="41">
        <v>36038</v>
      </c>
    </row>
    <row r="8" spans="1:9" x14ac:dyDescent="0.2">
      <c r="A8" s="40" t="s">
        <v>19</v>
      </c>
      <c r="B8" s="31">
        <v>7.0000000000000007E-2</v>
      </c>
      <c r="C8" s="31">
        <v>6.7000000000000004E-2</v>
      </c>
      <c r="D8" s="32">
        <v>1.05</v>
      </c>
      <c r="E8" s="32">
        <v>0.6</v>
      </c>
      <c r="F8" s="31">
        <v>3.4000000000000002E-2</v>
      </c>
      <c r="G8" s="33">
        <v>34365</v>
      </c>
      <c r="H8" s="31">
        <v>-0.122</v>
      </c>
      <c r="I8" s="41">
        <v>36038</v>
      </c>
    </row>
    <row r="9" spans="1:9" x14ac:dyDescent="0.2">
      <c r="A9" s="40" t="s">
        <v>20</v>
      </c>
      <c r="B9" s="31">
        <v>6.4000000000000001E-2</v>
      </c>
      <c r="C9" s="31">
        <v>3.5000000000000003E-2</v>
      </c>
      <c r="D9" s="32">
        <v>1.85</v>
      </c>
      <c r="E9" s="32">
        <v>0.48</v>
      </c>
      <c r="F9" s="31">
        <v>2.8000000000000001E-2</v>
      </c>
      <c r="G9" s="33">
        <v>35642</v>
      </c>
      <c r="H9" s="31">
        <v>-1.6E-2</v>
      </c>
      <c r="I9" s="41">
        <v>35520</v>
      </c>
    </row>
    <row r="10" spans="1:9" x14ac:dyDescent="0.2">
      <c r="A10" s="40" t="s">
        <v>21</v>
      </c>
      <c r="B10" s="31">
        <v>1.6E-2</v>
      </c>
      <c r="C10" s="31">
        <v>4.3999999999999997E-2</v>
      </c>
      <c r="D10" s="32">
        <v>0.36</v>
      </c>
      <c r="E10" s="32">
        <v>0.08</v>
      </c>
      <c r="F10" s="31">
        <v>1.4999999999999999E-2</v>
      </c>
      <c r="G10" s="33">
        <v>34819</v>
      </c>
      <c r="H10" s="31">
        <v>-7.2999999999999995E-2</v>
      </c>
      <c r="I10" s="41">
        <v>36099</v>
      </c>
    </row>
    <row r="11" spans="1:9" x14ac:dyDescent="0.2">
      <c r="A11" s="40" t="s">
        <v>22</v>
      </c>
      <c r="B11" s="31">
        <v>0.11799999999999999</v>
      </c>
      <c r="C11" s="31">
        <v>0.126</v>
      </c>
      <c r="D11" s="32">
        <v>0.94</v>
      </c>
      <c r="E11" s="32">
        <v>0.62</v>
      </c>
      <c r="F11" s="31">
        <v>0.126</v>
      </c>
      <c r="G11" s="33">
        <v>36525</v>
      </c>
      <c r="H11" s="31">
        <v>-0.11899999999999999</v>
      </c>
      <c r="I11" s="41">
        <v>36038</v>
      </c>
    </row>
    <row r="12" spans="1:9" x14ac:dyDescent="0.2">
      <c r="A12" s="40" t="s">
        <v>23</v>
      </c>
      <c r="B12" s="31">
        <v>2.3E-2</v>
      </c>
      <c r="C12" s="31">
        <v>0.20799999999999999</v>
      </c>
      <c r="D12" s="32">
        <v>0.11</v>
      </c>
      <c r="E12" s="32">
        <v>0.5</v>
      </c>
      <c r="F12" s="31">
        <v>0.161</v>
      </c>
      <c r="G12" s="33">
        <v>34577</v>
      </c>
      <c r="H12" s="31">
        <v>-0.23400000000000001</v>
      </c>
      <c r="I12" s="41">
        <v>36038</v>
      </c>
    </row>
    <row r="13" spans="1:9" x14ac:dyDescent="0.2">
      <c r="A13" s="40" t="s">
        <v>24</v>
      </c>
      <c r="B13" s="31">
        <v>7.6999999999999999E-2</v>
      </c>
      <c r="C13" s="31">
        <v>0.14399999999999999</v>
      </c>
      <c r="D13" s="32">
        <v>0.54</v>
      </c>
      <c r="E13" s="32">
        <v>0.36</v>
      </c>
      <c r="F13" s="31">
        <v>0.10100000000000001</v>
      </c>
      <c r="G13" s="33">
        <v>34942</v>
      </c>
      <c r="H13" s="31">
        <v>-0.11899999999999999</v>
      </c>
      <c r="I13" s="41">
        <v>36099</v>
      </c>
    </row>
    <row r="14" spans="1:9" x14ac:dyDescent="0.2">
      <c r="A14" s="40" t="s">
        <v>25</v>
      </c>
      <c r="B14" s="31">
        <v>-1.2E-2</v>
      </c>
      <c r="C14" s="31">
        <v>0.111</v>
      </c>
      <c r="D14" s="32">
        <v>-0.1</v>
      </c>
      <c r="E14" s="32">
        <v>0.01</v>
      </c>
      <c r="F14" s="31">
        <v>9.5000000000000001E-2</v>
      </c>
      <c r="G14" s="33">
        <v>36038</v>
      </c>
      <c r="H14" s="31">
        <v>-9.8000000000000004E-2</v>
      </c>
      <c r="I14" s="47">
        <v>34972</v>
      </c>
    </row>
    <row r="15" spans="1:9" ht="15" thickBot="1" x14ac:dyDescent="0.25">
      <c r="A15" s="40" t="s">
        <v>26</v>
      </c>
      <c r="B15" s="31">
        <v>-7.0999999999999994E-2</v>
      </c>
      <c r="C15" s="31">
        <v>0.186</v>
      </c>
      <c r="D15" s="32">
        <v>-0.38</v>
      </c>
      <c r="E15" s="32">
        <v>-0.76</v>
      </c>
      <c r="F15" s="31">
        <v>0.223</v>
      </c>
      <c r="G15" s="33">
        <v>36038</v>
      </c>
      <c r="H15" s="31">
        <v>-9.0999999999999998E-2</v>
      </c>
      <c r="I15" s="41">
        <v>36585</v>
      </c>
    </row>
    <row r="16" spans="1:9" ht="15" thickBot="1" x14ac:dyDescent="0.25">
      <c r="A16" s="42" t="s">
        <v>16</v>
      </c>
      <c r="B16" s="43">
        <v>0.14599999999999999</v>
      </c>
      <c r="C16" s="43">
        <v>0.14199999999999999</v>
      </c>
      <c r="D16" s="44">
        <v>1.03</v>
      </c>
      <c r="E16" s="44">
        <v>1</v>
      </c>
      <c r="F16" s="43">
        <v>9.2999999999999999E-2</v>
      </c>
      <c r="G16" s="45">
        <v>36616</v>
      </c>
      <c r="H16" s="43">
        <v>-0.14899999999999999</v>
      </c>
      <c r="I16" s="46">
        <v>36038</v>
      </c>
    </row>
    <row r="17" spans="1:9" ht="15" thickBot="1" x14ac:dyDescent="0.25">
      <c r="A17" s="34"/>
      <c r="B17" s="31"/>
      <c r="C17" s="31"/>
      <c r="D17" s="32"/>
      <c r="E17" s="32"/>
      <c r="F17" s="31"/>
      <c r="G17" s="33"/>
      <c r="H17" s="31"/>
      <c r="I17" s="33"/>
    </row>
    <row r="18" spans="1:9" x14ac:dyDescent="0.2">
      <c r="A18" s="35" t="s">
        <v>27</v>
      </c>
      <c r="B18" s="36" t="s">
        <v>2</v>
      </c>
      <c r="C18" s="36" t="s">
        <v>2</v>
      </c>
      <c r="D18" s="37" t="s">
        <v>2</v>
      </c>
      <c r="E18" s="37" t="s">
        <v>3</v>
      </c>
      <c r="F18" s="36" t="s">
        <v>4</v>
      </c>
      <c r="G18" s="38" t="s">
        <v>5</v>
      </c>
      <c r="H18" s="36" t="s">
        <v>6</v>
      </c>
      <c r="I18" s="39" t="s">
        <v>5</v>
      </c>
    </row>
    <row r="19" spans="1:9" x14ac:dyDescent="0.2">
      <c r="A19" s="40"/>
      <c r="B19" s="31" t="s">
        <v>7</v>
      </c>
      <c r="C19" s="31" t="s">
        <v>8</v>
      </c>
      <c r="D19" s="32" t="s">
        <v>9</v>
      </c>
      <c r="E19" s="32" t="s">
        <v>10</v>
      </c>
      <c r="F19" s="31" t="s">
        <v>11</v>
      </c>
      <c r="G19" s="33" t="s">
        <v>4</v>
      </c>
      <c r="H19" s="31" t="s">
        <v>11</v>
      </c>
      <c r="I19" s="41" t="s">
        <v>6</v>
      </c>
    </row>
    <row r="20" spans="1:9" ht="15" thickBot="1" x14ac:dyDescent="0.25">
      <c r="A20" s="40" t="s">
        <v>12</v>
      </c>
      <c r="B20" s="31" t="s">
        <v>13</v>
      </c>
      <c r="C20" s="31" t="s">
        <v>14</v>
      </c>
      <c r="D20" s="32" t="s">
        <v>15</v>
      </c>
      <c r="E20" s="32" t="s">
        <v>16</v>
      </c>
      <c r="F20" s="31" t="s">
        <v>13</v>
      </c>
      <c r="G20" s="33" t="s">
        <v>13</v>
      </c>
      <c r="H20" s="31" t="s">
        <v>13</v>
      </c>
      <c r="I20" s="41" t="s">
        <v>13</v>
      </c>
    </row>
    <row r="21" spans="1:9" ht="15" thickBot="1" x14ac:dyDescent="0.25">
      <c r="A21" s="42" t="s">
        <v>17</v>
      </c>
      <c r="B21" s="43">
        <v>7.972305523083531E-2</v>
      </c>
      <c r="C21" s="43">
        <v>9.9947352049964175E-2</v>
      </c>
      <c r="D21" s="44">
        <v>0.79765049894449791</v>
      </c>
      <c r="E21" s="44">
        <v>0.52407860057383837</v>
      </c>
      <c r="F21" s="43">
        <v>8.0940000104904181E-2</v>
      </c>
      <c r="G21" s="45">
        <v>36525</v>
      </c>
      <c r="H21" s="43">
        <v>-7.9614583333333336E-2</v>
      </c>
      <c r="I21" s="46">
        <v>36038</v>
      </c>
    </row>
    <row r="22" spans="1:9" x14ac:dyDescent="0.2">
      <c r="A22" s="40" t="s">
        <v>18</v>
      </c>
      <c r="B22" s="31">
        <v>5.4078610786390882E-2</v>
      </c>
      <c r="C22" s="31">
        <v>5.0702083428717286E-2</v>
      </c>
      <c r="D22" s="32">
        <v>1.0665954361110368</v>
      </c>
      <c r="E22" s="32">
        <v>0.12631698726489576</v>
      </c>
      <c r="F22" s="31">
        <v>3.0979166698455813E-2</v>
      </c>
      <c r="G22" s="33">
        <v>36646</v>
      </c>
      <c r="H22" s="31">
        <v>-5.0514583333333328E-2</v>
      </c>
      <c r="I22" s="41">
        <v>36038</v>
      </c>
    </row>
    <row r="23" spans="1:9" x14ac:dyDescent="0.2">
      <c r="A23" s="40" t="s">
        <v>19</v>
      </c>
      <c r="B23" s="31">
        <v>7.007861078639091E-2</v>
      </c>
      <c r="C23" s="31">
        <v>6.6873280055430834E-2</v>
      </c>
      <c r="D23" s="32">
        <v>1.0479314118928098</v>
      </c>
      <c r="E23" s="32">
        <v>0.59723352782608807</v>
      </c>
      <c r="F23" s="31">
        <v>3.4285416730244954E-2</v>
      </c>
      <c r="G23" s="33">
        <v>34365</v>
      </c>
      <c r="H23" s="31">
        <v>-0.12181458333333334</v>
      </c>
      <c r="I23" s="41">
        <v>36038</v>
      </c>
    </row>
    <row r="24" spans="1:9" x14ac:dyDescent="0.2">
      <c r="A24" s="40" t="s">
        <v>20</v>
      </c>
      <c r="B24" s="31">
        <v>6.3782314490094569E-2</v>
      </c>
      <c r="C24" s="31">
        <v>3.4610162724749011E-2</v>
      </c>
      <c r="D24" s="32">
        <v>1.8428782030685211</v>
      </c>
      <c r="E24" s="32">
        <v>0.48156305173087927</v>
      </c>
      <c r="F24" s="31">
        <v>2.8381249999999997E-2</v>
      </c>
      <c r="G24" s="33">
        <v>35642</v>
      </c>
      <c r="H24" s="31">
        <v>-1.5781249841054279E-2</v>
      </c>
      <c r="I24" s="41">
        <v>35520</v>
      </c>
    </row>
    <row r="25" spans="1:9" x14ac:dyDescent="0.2">
      <c r="A25" s="40" t="s">
        <v>21</v>
      </c>
      <c r="B25" s="31">
        <v>1.5767499675279781E-2</v>
      </c>
      <c r="C25" s="31">
        <v>4.3965477551273786E-2</v>
      </c>
      <c r="D25" s="32">
        <v>0.35863364970598294</v>
      </c>
      <c r="E25" s="32">
        <v>8.1310406295803259E-2</v>
      </c>
      <c r="F25" s="31">
        <v>1.5474999936421711E-2</v>
      </c>
      <c r="G25" s="33">
        <v>34819</v>
      </c>
      <c r="H25" s="31">
        <v>-7.3003333425521844E-2</v>
      </c>
      <c r="I25" s="41">
        <v>36099</v>
      </c>
    </row>
    <row r="26" spans="1:9" x14ac:dyDescent="0.2">
      <c r="A26" s="40" t="s">
        <v>22</v>
      </c>
      <c r="B26" s="31">
        <v>0.11779712930490942</v>
      </c>
      <c r="C26" s="31">
        <v>0.12605899499410556</v>
      </c>
      <c r="D26" s="32">
        <v>0.93446032399685197</v>
      </c>
      <c r="E26" s="32">
        <v>0.61828497836545049</v>
      </c>
      <c r="F26" s="31">
        <v>0.12574000010490416</v>
      </c>
      <c r="G26" s="33">
        <v>36525</v>
      </c>
      <c r="H26" s="31">
        <v>-0.11841458333333334</v>
      </c>
      <c r="I26" s="41">
        <v>36038</v>
      </c>
    </row>
    <row r="27" spans="1:9" x14ac:dyDescent="0.2">
      <c r="A27" s="40" t="s">
        <v>23</v>
      </c>
      <c r="B27" s="31">
        <v>2.3071203378983496E-2</v>
      </c>
      <c r="C27" s="31">
        <v>0.20798941293225975</v>
      </c>
      <c r="D27" s="32">
        <v>0.11092489302086532</v>
      </c>
      <c r="E27" s="32">
        <v>0.50178074004846307</v>
      </c>
      <c r="F27" s="31">
        <v>0.16045208338101707</v>
      </c>
      <c r="G27" s="33">
        <v>34577</v>
      </c>
      <c r="H27" s="31">
        <v>-0.23441458333333334</v>
      </c>
      <c r="I27" s="41">
        <v>36038</v>
      </c>
    </row>
    <row r="28" spans="1:9" x14ac:dyDescent="0.2">
      <c r="A28" s="40" t="s">
        <v>24</v>
      </c>
      <c r="B28" s="31">
        <v>7.7248981156761279E-2</v>
      </c>
      <c r="C28" s="31">
        <v>0.14438746537660083</v>
      </c>
      <c r="D28" s="32">
        <v>0.53501168508828267</v>
      </c>
      <c r="E28" s="32">
        <v>0.36088402420167892</v>
      </c>
      <c r="F28" s="31">
        <v>0.10147916650772094</v>
      </c>
      <c r="G28" s="33">
        <v>34942</v>
      </c>
      <c r="H28" s="31">
        <v>-0.11890333342552185</v>
      </c>
      <c r="I28" s="41">
        <v>36099</v>
      </c>
    </row>
    <row r="29" spans="1:9" x14ac:dyDescent="0.2">
      <c r="A29" s="40" t="s">
        <v>25</v>
      </c>
      <c r="B29" s="31">
        <v>-1.1625092917312804E-2</v>
      </c>
      <c r="C29" s="31">
        <v>0.11090935354884505</v>
      </c>
      <c r="D29" s="32">
        <v>-0.10481616333822605</v>
      </c>
      <c r="E29" s="32">
        <v>1.2708782338649059E-2</v>
      </c>
      <c r="F29" s="31">
        <v>9.5385416666666667E-2</v>
      </c>
      <c r="G29" s="33">
        <v>36038</v>
      </c>
      <c r="H29" s="31">
        <v>-9.789499974250794E-2</v>
      </c>
      <c r="I29" s="41">
        <v>34972</v>
      </c>
    </row>
    <row r="30" spans="1:9" ht="15" thickBot="1" x14ac:dyDescent="0.25">
      <c r="A30" s="40" t="s">
        <v>26</v>
      </c>
      <c r="B30" s="31">
        <v>-7.1151018843238795E-2</v>
      </c>
      <c r="C30" s="31">
        <v>0.18560252877008812</v>
      </c>
      <c r="D30" s="32">
        <v>-0.3833515594573384</v>
      </c>
      <c r="E30" s="32">
        <v>-0.75926180013609179</v>
      </c>
      <c r="F30" s="31">
        <v>0.22298541666666666</v>
      </c>
      <c r="G30" s="33">
        <v>36038</v>
      </c>
      <c r="H30" s="31">
        <v>-9.1137500047683714E-2</v>
      </c>
      <c r="I30" s="41">
        <v>36585</v>
      </c>
    </row>
    <row r="31" spans="1:9" ht="15" thickBot="1" x14ac:dyDescent="0.25">
      <c r="A31" s="42" t="s">
        <v>16</v>
      </c>
      <c r="B31" s="43">
        <v>0.14552307093710917</v>
      </c>
      <c r="C31" s="43">
        <v>0.14188275057726146</v>
      </c>
      <c r="D31" s="44">
        <v>1.0256572440626981</v>
      </c>
      <c r="E31" s="44">
        <v>1.0000000000000002</v>
      </c>
      <c r="F31" s="43">
        <v>9.2896896078408897E-2</v>
      </c>
      <c r="G31" s="45">
        <v>36616</v>
      </c>
      <c r="H31" s="43">
        <v>-0.14885843218420058</v>
      </c>
      <c r="I31" s="46">
        <v>36038</v>
      </c>
    </row>
    <row r="32" spans="1:9" ht="15" thickBot="1" x14ac:dyDescent="0.25">
      <c r="A32" s="34"/>
      <c r="B32" s="31"/>
      <c r="C32" s="31"/>
      <c r="D32" s="32"/>
      <c r="E32" s="32"/>
      <c r="F32" s="31"/>
      <c r="G32" s="33"/>
      <c r="H32" s="31"/>
      <c r="I32" s="33"/>
    </row>
    <row r="33" spans="1:9" x14ac:dyDescent="0.2">
      <c r="A33" s="35" t="s">
        <v>28</v>
      </c>
      <c r="B33" s="36" t="s">
        <v>2</v>
      </c>
      <c r="C33" s="36" t="s">
        <v>2</v>
      </c>
      <c r="D33" s="37" t="s">
        <v>2</v>
      </c>
      <c r="E33" s="37" t="s">
        <v>3</v>
      </c>
      <c r="F33" s="36" t="s">
        <v>4</v>
      </c>
      <c r="G33" s="38" t="s">
        <v>5</v>
      </c>
      <c r="H33" s="36" t="s">
        <v>6</v>
      </c>
      <c r="I33" s="39" t="s">
        <v>5</v>
      </c>
    </row>
    <row r="34" spans="1:9" x14ac:dyDescent="0.2">
      <c r="A34" s="40"/>
      <c r="B34" s="31" t="s">
        <v>7</v>
      </c>
      <c r="C34" s="31" t="s">
        <v>8</v>
      </c>
      <c r="D34" s="32" t="s">
        <v>9</v>
      </c>
      <c r="E34" s="32" t="s">
        <v>10</v>
      </c>
      <c r="F34" s="31" t="s">
        <v>11</v>
      </c>
      <c r="G34" s="33" t="s">
        <v>4</v>
      </c>
      <c r="H34" s="31" t="s">
        <v>11</v>
      </c>
      <c r="I34" s="41" t="s">
        <v>6</v>
      </c>
    </row>
    <row r="35" spans="1:9" ht="15" thickBot="1" x14ac:dyDescent="0.25">
      <c r="A35" s="40" t="s">
        <v>12</v>
      </c>
      <c r="B35" s="31" t="s">
        <v>13</v>
      </c>
      <c r="C35" s="31" t="s">
        <v>14</v>
      </c>
      <c r="D35" s="32" t="s">
        <v>15</v>
      </c>
      <c r="E35" s="32" t="s">
        <v>16</v>
      </c>
      <c r="F35" s="31" t="s">
        <v>13</v>
      </c>
      <c r="G35" s="33" t="s">
        <v>13</v>
      </c>
      <c r="H35" s="31" t="s">
        <v>13</v>
      </c>
      <c r="I35" s="41" t="s">
        <v>13</v>
      </c>
    </row>
    <row r="36" spans="1:9" ht="15" thickBot="1" x14ac:dyDescent="0.25">
      <c r="A36" s="42" t="s">
        <v>17</v>
      </c>
      <c r="B36" s="43">
        <f>B21-B6</f>
        <v>-2.7694476916469146E-4</v>
      </c>
      <c r="C36" s="43">
        <f t="shared" ref="C36:H36" si="0">C21-C6</f>
        <v>-5.2647950035830671E-5</v>
      </c>
      <c r="D36" s="44">
        <f t="shared" si="0"/>
        <v>-2.3495010555021345E-3</v>
      </c>
      <c r="E36" s="44">
        <f t="shared" si="0"/>
        <v>4.0786005738383535E-3</v>
      </c>
      <c r="F36" s="43">
        <f t="shared" si="0"/>
        <v>-5.9999895095821931E-5</v>
      </c>
      <c r="G36" s="45" t="str">
        <f>IF(G6=G21,"same","different")</f>
        <v>same</v>
      </c>
      <c r="H36" s="43">
        <f t="shared" si="0"/>
        <v>3.8541666666666585E-4</v>
      </c>
      <c r="I36" s="46" t="str">
        <f t="shared" ref="I36:I46" si="1">IF(I6=I21,"same","different")</f>
        <v>same</v>
      </c>
    </row>
    <row r="37" spans="1:9" x14ac:dyDescent="0.2">
      <c r="A37" s="40" t="s">
        <v>18</v>
      </c>
      <c r="B37" s="31">
        <f t="shared" ref="B37:F46" si="2">B22-B7</f>
        <v>7.8610786390882759E-5</v>
      </c>
      <c r="C37" s="31">
        <f t="shared" si="2"/>
        <v>-2.9791657128271087E-4</v>
      </c>
      <c r="D37" s="32">
        <f t="shared" si="2"/>
        <v>-3.4045638889632635E-3</v>
      </c>
      <c r="E37" s="32">
        <f t="shared" si="2"/>
        <v>-3.6830127351042408E-3</v>
      </c>
      <c r="F37" s="31">
        <f t="shared" si="2"/>
        <v>-2.0833301544186805E-5</v>
      </c>
      <c r="G37" s="33" t="str">
        <f t="shared" ref="G37:G46" si="3">IF(G7=G22,"same","different")</f>
        <v>same</v>
      </c>
      <c r="H37" s="31">
        <f t="shared" ref="H37:H46" si="4">H22-H7</f>
        <v>4.8541666666666872E-4</v>
      </c>
      <c r="I37" s="41" t="str">
        <f t="shared" si="1"/>
        <v>same</v>
      </c>
    </row>
    <row r="38" spans="1:9" x14ac:dyDescent="0.2">
      <c r="A38" s="40" t="s">
        <v>19</v>
      </c>
      <c r="B38" s="31">
        <f t="shared" si="2"/>
        <v>7.8610786390903575E-5</v>
      </c>
      <c r="C38" s="31">
        <f t="shared" si="2"/>
        <v>-1.2671994456917024E-4</v>
      </c>
      <c r="D38" s="32">
        <f t="shared" si="2"/>
        <v>-2.068588107190239E-3</v>
      </c>
      <c r="E38" s="32">
        <f t="shared" si="2"/>
        <v>-2.7664721739119047E-3</v>
      </c>
      <c r="F38" s="31">
        <f t="shared" si="2"/>
        <v>2.8541673024495146E-4</v>
      </c>
      <c r="G38" s="33" t="str">
        <f t="shared" si="3"/>
        <v>same</v>
      </c>
      <c r="H38" s="31">
        <f t="shared" si="4"/>
        <v>1.8541666666666012E-4</v>
      </c>
      <c r="I38" s="41" t="str">
        <f t="shared" si="1"/>
        <v>same</v>
      </c>
    </row>
    <row r="39" spans="1:9" x14ac:dyDescent="0.2">
      <c r="A39" s="40" t="s">
        <v>20</v>
      </c>
      <c r="B39" s="31">
        <f t="shared" si="2"/>
        <v>-2.1768550990543256E-4</v>
      </c>
      <c r="C39" s="31">
        <f t="shared" si="2"/>
        <v>-3.8983727525099265E-4</v>
      </c>
      <c r="D39" s="32">
        <f t="shared" si="2"/>
        <v>-7.1217969314789631E-3</v>
      </c>
      <c r="E39" s="32">
        <f t="shared" si="2"/>
        <v>1.5630517308792835E-3</v>
      </c>
      <c r="F39" s="31">
        <f t="shared" si="2"/>
        <v>3.8124999999999618E-4</v>
      </c>
      <c r="G39" s="33" t="str">
        <f t="shared" si="3"/>
        <v>same</v>
      </c>
      <c r="H39" s="31">
        <f t="shared" si="4"/>
        <v>2.1875015894572136E-4</v>
      </c>
      <c r="I39" s="41" t="str">
        <f t="shared" si="1"/>
        <v>same</v>
      </c>
    </row>
    <row r="40" spans="1:9" x14ac:dyDescent="0.2">
      <c r="A40" s="40" t="s">
        <v>21</v>
      </c>
      <c r="B40" s="31">
        <f t="shared" si="2"/>
        <v>-2.3250032472021953E-4</v>
      </c>
      <c r="C40" s="31">
        <f>C25-C10</f>
        <v>-3.4522448726211075E-5</v>
      </c>
      <c r="D40" s="32">
        <f t="shared" si="2"/>
        <v>-1.3663502940170491E-3</v>
      </c>
      <c r="E40" s="32">
        <f t="shared" si="2"/>
        <v>1.310406295803257E-3</v>
      </c>
      <c r="F40" s="31">
        <f t="shared" si="2"/>
        <v>4.7499993642171126E-4</v>
      </c>
      <c r="G40" s="33" t="str">
        <f t="shared" si="3"/>
        <v>same</v>
      </c>
      <c r="H40" s="31">
        <f t="shared" si="4"/>
        <v>-3.3334255218481212E-6</v>
      </c>
      <c r="I40" s="41" t="str">
        <f t="shared" si="1"/>
        <v>same</v>
      </c>
    </row>
    <row r="41" spans="1:9" x14ac:dyDescent="0.2">
      <c r="A41" s="40" t="s">
        <v>22</v>
      </c>
      <c r="B41" s="31">
        <f t="shared" si="2"/>
        <v>-2.028706950905762E-4</v>
      </c>
      <c r="C41" s="31">
        <f t="shared" si="2"/>
        <v>5.8994994105554532E-5</v>
      </c>
      <c r="D41" s="32">
        <f t="shared" si="2"/>
        <v>-5.5396760031479753E-3</v>
      </c>
      <c r="E41" s="32">
        <f t="shared" si="2"/>
        <v>-1.7150216345495073E-3</v>
      </c>
      <c r="F41" s="31">
        <f t="shared" si="2"/>
        <v>-2.5999989509584154E-4</v>
      </c>
      <c r="G41" s="33" t="str">
        <f t="shared" si="3"/>
        <v>same</v>
      </c>
      <c r="H41" s="31">
        <f t="shared" si="4"/>
        <v>5.854166666666577E-4</v>
      </c>
      <c r="I41" s="41" t="str">
        <f t="shared" si="1"/>
        <v>same</v>
      </c>
    </row>
    <row r="42" spans="1:9" x14ac:dyDescent="0.2">
      <c r="A42" s="40" t="s">
        <v>23</v>
      </c>
      <c r="B42" s="31">
        <f t="shared" si="2"/>
        <v>7.1203378983496213E-5</v>
      </c>
      <c r="C42" s="31">
        <f t="shared" si="2"/>
        <v>-1.0587067740236433E-5</v>
      </c>
      <c r="D42" s="32">
        <f t="shared" si="2"/>
        <v>9.2489302086531944E-4</v>
      </c>
      <c r="E42" s="32">
        <f t="shared" si="2"/>
        <v>1.7807400484630698E-3</v>
      </c>
      <c r="F42" s="31">
        <f t="shared" si="2"/>
        <v>-5.4791661898292987E-4</v>
      </c>
      <c r="G42" s="33" t="str">
        <f t="shared" si="3"/>
        <v>same</v>
      </c>
      <c r="H42" s="31">
        <f t="shared" si="4"/>
        <v>-4.1458333333332931E-4</v>
      </c>
      <c r="I42" s="41" t="str">
        <f t="shared" si="1"/>
        <v>same</v>
      </c>
    </row>
    <row r="43" spans="1:9" x14ac:dyDescent="0.2">
      <c r="A43" s="40" t="s">
        <v>24</v>
      </c>
      <c r="B43" s="31">
        <f t="shared" si="2"/>
        <v>2.4898115676127985E-4</v>
      </c>
      <c r="C43" s="31">
        <f t="shared" si="2"/>
        <v>3.8746537660083735E-4</v>
      </c>
      <c r="D43" s="32">
        <f t="shared" si="2"/>
        <v>-4.988314911717362E-3</v>
      </c>
      <c r="E43" s="32">
        <f t="shared" si="2"/>
        <v>8.8402420167893458E-4</v>
      </c>
      <c r="F43" s="31">
        <f t="shared" si="2"/>
        <v>4.7916650772093783E-4</v>
      </c>
      <c r="G43" s="33" t="str">
        <f t="shared" si="3"/>
        <v>same</v>
      </c>
      <c r="H43" s="31">
        <f t="shared" si="4"/>
        <v>9.6666574478140865E-5</v>
      </c>
      <c r="I43" s="41" t="str">
        <f t="shared" si="1"/>
        <v>same</v>
      </c>
    </row>
    <row r="44" spans="1:9" x14ac:dyDescent="0.2">
      <c r="A44" s="40" t="s">
        <v>25</v>
      </c>
      <c r="B44" s="31">
        <f t="shared" si="2"/>
        <v>3.7490708268719634E-4</v>
      </c>
      <c r="C44" s="31">
        <f t="shared" si="2"/>
        <v>-9.0646451154946517E-5</v>
      </c>
      <c r="D44" s="32">
        <f t="shared" si="2"/>
        <v>-4.8161633382260427E-3</v>
      </c>
      <c r="E44" s="32">
        <f t="shared" si="2"/>
        <v>2.7087823386490583E-3</v>
      </c>
      <c r="F44" s="31">
        <f t="shared" si="2"/>
        <v>3.8541666666666585E-4</v>
      </c>
      <c r="G44" s="33" t="str">
        <f t="shared" si="3"/>
        <v>same</v>
      </c>
      <c r="H44" s="31">
        <f t="shared" si="4"/>
        <v>1.0500025749206332E-4</v>
      </c>
      <c r="I44" s="41" t="str">
        <f t="shared" si="1"/>
        <v>same</v>
      </c>
    </row>
    <row r="45" spans="1:9" ht="15" thickBot="1" x14ac:dyDescent="0.25">
      <c r="A45" s="40" t="s">
        <v>26</v>
      </c>
      <c r="B45" s="31">
        <f t="shared" si="2"/>
        <v>-1.5101884323880099E-4</v>
      </c>
      <c r="C45" s="31">
        <f t="shared" si="2"/>
        <v>-3.9747122991187767E-4</v>
      </c>
      <c r="D45" s="32">
        <f t="shared" si="2"/>
        <v>-3.3515594573383933E-3</v>
      </c>
      <c r="E45" s="32">
        <f t="shared" si="2"/>
        <v>7.3819986390821768E-4</v>
      </c>
      <c r="F45" s="31">
        <f t="shared" si="2"/>
        <v>-1.4583333333345605E-5</v>
      </c>
      <c r="G45" s="33" t="str">
        <f t="shared" si="3"/>
        <v>same</v>
      </c>
      <c r="H45" s="31">
        <f t="shared" si="4"/>
        <v>-1.3750004768371682E-4</v>
      </c>
      <c r="I45" s="41" t="str">
        <f t="shared" si="1"/>
        <v>same</v>
      </c>
    </row>
    <row r="46" spans="1:9" ht="15" thickBot="1" x14ac:dyDescent="0.25">
      <c r="A46" s="42" t="s">
        <v>16</v>
      </c>
      <c r="B46" s="43">
        <f t="shared" si="2"/>
        <v>-4.7692906289081849E-4</v>
      </c>
      <c r="C46" s="43">
        <f t="shared" si="2"/>
        <v>-1.1724942273852457E-4</v>
      </c>
      <c r="D46" s="44">
        <f t="shared" si="2"/>
        <v>-4.3427559373019342E-3</v>
      </c>
      <c r="E46" s="44">
        <f t="shared" si="2"/>
        <v>0</v>
      </c>
      <c r="F46" s="43">
        <f t="shared" si="2"/>
        <v>-1.0310392159110227E-4</v>
      </c>
      <c r="G46" s="45" t="str">
        <f t="shared" si="3"/>
        <v>same</v>
      </c>
      <c r="H46" s="43">
        <f t="shared" si="4"/>
        <v>1.4156781579940936E-4</v>
      </c>
      <c r="I46" s="46" t="str">
        <f t="shared" si="1"/>
        <v>same</v>
      </c>
    </row>
  </sheetData>
  <phoneticPr fontId="1" type="noConversion"/>
  <pageMargins left="0.75" right="0.75" top="1" bottom="1" header="0.5" footer="0.5"/>
  <pageSetup orientation="portrait" r:id="rId1"/>
  <headerFooter alignWithMargins="0"/>
  <ignoredErrors>
    <ignoredError sqref="G36:G46 H36:H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EF75-D773-8846-AC95-E61A41CE352B}">
  <dimension ref="A1:M26"/>
  <sheetViews>
    <sheetView zoomScaleNormal="100" workbookViewId="0">
      <selection activeCell="G7" sqref="G7"/>
    </sheetView>
  </sheetViews>
  <sheetFormatPr baseColWidth="10" defaultColWidth="8.83203125" defaultRowHeight="15" x14ac:dyDescent="0.2"/>
  <cols>
    <col min="1" max="1" width="22.83203125" style="4" customWidth="1"/>
    <col min="2" max="2" width="13.6640625" style="4" bestFit="1" customWidth="1"/>
    <col min="3" max="3" width="10.5" style="4" customWidth="1"/>
    <col min="4" max="4" width="8.33203125" style="4" bestFit="1" customWidth="1"/>
    <col min="5" max="5" width="0.6640625" style="4" customWidth="1"/>
    <col min="6" max="6" width="13.6640625" style="4" bestFit="1" customWidth="1"/>
    <col min="7" max="7" width="8.5" style="4" bestFit="1" customWidth="1"/>
    <col min="8" max="8" width="8.33203125" style="4" bestFit="1" customWidth="1"/>
    <col min="9" max="9" width="0.83203125" style="4" customWidth="1"/>
    <col min="10" max="10" width="13.6640625" style="4" bestFit="1" customWidth="1"/>
    <col min="11" max="11" width="11.5" style="4" customWidth="1"/>
    <col min="12" max="12" width="8.33203125" style="4" customWidth="1"/>
    <col min="13" max="13" width="12.1640625" style="4" customWidth="1"/>
    <col min="14" max="242" width="8.83203125" style="4"/>
    <col min="243" max="243" width="20.5" style="4" bestFit="1" customWidth="1"/>
    <col min="244" max="244" width="13.6640625" style="4" bestFit="1" customWidth="1"/>
    <col min="245" max="245" width="8.5" style="4" bestFit="1" customWidth="1"/>
    <col min="246" max="246" width="8.33203125" style="4" bestFit="1" customWidth="1"/>
    <col min="247" max="247" width="0.6640625" style="4" customWidth="1"/>
    <col min="248" max="248" width="13.6640625" style="4" bestFit="1" customWidth="1"/>
    <col min="249" max="249" width="8.5" style="4" bestFit="1" customWidth="1"/>
    <col min="250" max="250" width="8.33203125" style="4" bestFit="1" customWidth="1"/>
    <col min="251" max="251" width="0.83203125" style="4" customWidth="1"/>
    <col min="252" max="252" width="13.6640625" style="4" bestFit="1" customWidth="1"/>
    <col min="253" max="253" width="8.5" style="4" bestFit="1" customWidth="1"/>
    <col min="254" max="254" width="8.33203125" style="4" bestFit="1" customWidth="1"/>
    <col min="255" max="255" width="0.6640625" style="4" customWidth="1"/>
    <col min="256" max="256" width="13.6640625" style="4" bestFit="1" customWidth="1"/>
    <col min="257" max="257" width="8.5" style="4" bestFit="1" customWidth="1"/>
    <col min="258" max="258" width="8.33203125" style="4" bestFit="1" customWidth="1"/>
    <col min="259" max="259" width="0.5" style="4" customWidth="1"/>
    <col min="260" max="260" width="13.6640625" style="4" bestFit="1" customWidth="1"/>
    <col min="261" max="261" width="8.5" style="4" bestFit="1" customWidth="1"/>
    <col min="262" max="262" width="8.33203125" style="4" bestFit="1" customWidth="1"/>
    <col min="263" max="498" width="8.83203125" style="4"/>
    <col min="499" max="499" width="20.5" style="4" bestFit="1" customWidth="1"/>
    <col min="500" max="500" width="13.6640625" style="4" bestFit="1" customWidth="1"/>
    <col min="501" max="501" width="8.5" style="4" bestFit="1" customWidth="1"/>
    <col min="502" max="502" width="8.33203125" style="4" bestFit="1" customWidth="1"/>
    <col min="503" max="503" width="0.6640625" style="4" customWidth="1"/>
    <col min="504" max="504" width="13.6640625" style="4" bestFit="1" customWidth="1"/>
    <col min="505" max="505" width="8.5" style="4" bestFit="1" customWidth="1"/>
    <col min="506" max="506" width="8.33203125" style="4" bestFit="1" customWidth="1"/>
    <col min="507" max="507" width="0.83203125" style="4" customWidth="1"/>
    <col min="508" max="508" width="13.6640625" style="4" bestFit="1" customWidth="1"/>
    <col min="509" max="509" width="8.5" style="4" bestFit="1" customWidth="1"/>
    <col min="510" max="510" width="8.33203125" style="4" bestFit="1" customWidth="1"/>
    <col min="511" max="511" width="0.6640625" style="4" customWidth="1"/>
    <col min="512" max="512" width="13.6640625" style="4" bestFit="1" customWidth="1"/>
    <col min="513" max="513" width="8.5" style="4" bestFit="1" customWidth="1"/>
    <col min="514" max="514" width="8.33203125" style="4" bestFit="1" customWidth="1"/>
    <col min="515" max="515" width="0.5" style="4" customWidth="1"/>
    <col min="516" max="516" width="13.6640625" style="4" bestFit="1" customWidth="1"/>
    <col min="517" max="517" width="8.5" style="4" bestFit="1" customWidth="1"/>
    <col min="518" max="518" width="8.33203125" style="4" bestFit="1" customWidth="1"/>
    <col min="519" max="754" width="8.83203125" style="4"/>
    <col min="755" max="755" width="20.5" style="4" bestFit="1" customWidth="1"/>
    <col min="756" max="756" width="13.6640625" style="4" bestFit="1" customWidth="1"/>
    <col min="757" max="757" width="8.5" style="4" bestFit="1" customWidth="1"/>
    <col min="758" max="758" width="8.33203125" style="4" bestFit="1" customWidth="1"/>
    <col min="759" max="759" width="0.6640625" style="4" customWidth="1"/>
    <col min="760" max="760" width="13.6640625" style="4" bestFit="1" customWidth="1"/>
    <col min="761" max="761" width="8.5" style="4" bestFit="1" customWidth="1"/>
    <col min="762" max="762" width="8.33203125" style="4" bestFit="1" customWidth="1"/>
    <col min="763" max="763" width="0.83203125" style="4" customWidth="1"/>
    <col min="764" max="764" width="13.6640625" style="4" bestFit="1" customWidth="1"/>
    <col min="765" max="765" width="8.5" style="4" bestFit="1" customWidth="1"/>
    <col min="766" max="766" width="8.33203125" style="4" bestFit="1" customWidth="1"/>
    <col min="767" max="767" width="0.6640625" style="4" customWidth="1"/>
    <col min="768" max="768" width="13.6640625" style="4" bestFit="1" customWidth="1"/>
    <col min="769" max="769" width="8.5" style="4" bestFit="1" customWidth="1"/>
    <col min="770" max="770" width="8.33203125" style="4" bestFit="1" customWidth="1"/>
    <col min="771" max="771" width="0.5" style="4" customWidth="1"/>
    <col min="772" max="772" width="13.6640625" style="4" bestFit="1" customWidth="1"/>
    <col min="773" max="773" width="8.5" style="4" bestFit="1" customWidth="1"/>
    <col min="774" max="774" width="8.33203125" style="4" bestFit="1" customWidth="1"/>
    <col min="775" max="1010" width="8.83203125" style="4"/>
    <col min="1011" max="1011" width="20.5" style="4" bestFit="1" customWidth="1"/>
    <col min="1012" max="1012" width="13.6640625" style="4" bestFit="1" customWidth="1"/>
    <col min="1013" max="1013" width="8.5" style="4" bestFit="1" customWidth="1"/>
    <col min="1014" max="1014" width="8.33203125" style="4" bestFit="1" customWidth="1"/>
    <col min="1015" max="1015" width="0.6640625" style="4" customWidth="1"/>
    <col min="1016" max="1016" width="13.6640625" style="4" bestFit="1" customWidth="1"/>
    <col min="1017" max="1017" width="8.5" style="4" bestFit="1" customWidth="1"/>
    <col min="1018" max="1018" width="8.33203125" style="4" bestFit="1" customWidth="1"/>
    <col min="1019" max="1019" width="0.83203125" style="4" customWidth="1"/>
    <col min="1020" max="1020" width="13.6640625" style="4" bestFit="1" customWidth="1"/>
    <col min="1021" max="1021" width="8.5" style="4" bestFit="1" customWidth="1"/>
    <col min="1022" max="1022" width="8.33203125" style="4" bestFit="1" customWidth="1"/>
    <col min="1023" max="1023" width="0.6640625" style="4" customWidth="1"/>
    <col min="1024" max="1024" width="13.6640625" style="4" bestFit="1" customWidth="1"/>
    <col min="1025" max="1025" width="8.5" style="4" bestFit="1" customWidth="1"/>
    <col min="1026" max="1026" width="8.33203125" style="4" bestFit="1" customWidth="1"/>
    <col min="1027" max="1027" width="0.5" style="4" customWidth="1"/>
    <col min="1028" max="1028" width="13.6640625" style="4" bestFit="1" customWidth="1"/>
    <col min="1029" max="1029" width="8.5" style="4" bestFit="1" customWidth="1"/>
    <col min="1030" max="1030" width="8.33203125" style="4" bestFit="1" customWidth="1"/>
    <col min="1031" max="1266" width="8.83203125" style="4"/>
    <col min="1267" max="1267" width="20.5" style="4" bestFit="1" customWidth="1"/>
    <col min="1268" max="1268" width="13.6640625" style="4" bestFit="1" customWidth="1"/>
    <col min="1269" max="1269" width="8.5" style="4" bestFit="1" customWidth="1"/>
    <col min="1270" max="1270" width="8.33203125" style="4" bestFit="1" customWidth="1"/>
    <col min="1271" max="1271" width="0.6640625" style="4" customWidth="1"/>
    <col min="1272" max="1272" width="13.6640625" style="4" bestFit="1" customWidth="1"/>
    <col min="1273" max="1273" width="8.5" style="4" bestFit="1" customWidth="1"/>
    <col min="1274" max="1274" width="8.33203125" style="4" bestFit="1" customWidth="1"/>
    <col min="1275" max="1275" width="0.83203125" style="4" customWidth="1"/>
    <col min="1276" max="1276" width="13.6640625" style="4" bestFit="1" customWidth="1"/>
    <col min="1277" max="1277" width="8.5" style="4" bestFit="1" customWidth="1"/>
    <col min="1278" max="1278" width="8.33203125" style="4" bestFit="1" customWidth="1"/>
    <col min="1279" max="1279" width="0.6640625" style="4" customWidth="1"/>
    <col min="1280" max="1280" width="13.6640625" style="4" bestFit="1" customWidth="1"/>
    <col min="1281" max="1281" width="8.5" style="4" bestFit="1" customWidth="1"/>
    <col min="1282" max="1282" width="8.33203125" style="4" bestFit="1" customWidth="1"/>
    <col min="1283" max="1283" width="0.5" style="4" customWidth="1"/>
    <col min="1284" max="1284" width="13.6640625" style="4" bestFit="1" customWidth="1"/>
    <col min="1285" max="1285" width="8.5" style="4" bestFit="1" customWidth="1"/>
    <col min="1286" max="1286" width="8.33203125" style="4" bestFit="1" customWidth="1"/>
    <col min="1287" max="1522" width="8.83203125" style="4"/>
    <col min="1523" max="1523" width="20.5" style="4" bestFit="1" customWidth="1"/>
    <col min="1524" max="1524" width="13.6640625" style="4" bestFit="1" customWidth="1"/>
    <col min="1525" max="1525" width="8.5" style="4" bestFit="1" customWidth="1"/>
    <col min="1526" max="1526" width="8.33203125" style="4" bestFit="1" customWidth="1"/>
    <col min="1527" max="1527" width="0.6640625" style="4" customWidth="1"/>
    <col min="1528" max="1528" width="13.6640625" style="4" bestFit="1" customWidth="1"/>
    <col min="1529" max="1529" width="8.5" style="4" bestFit="1" customWidth="1"/>
    <col min="1530" max="1530" width="8.33203125" style="4" bestFit="1" customWidth="1"/>
    <col min="1531" max="1531" width="0.83203125" style="4" customWidth="1"/>
    <col min="1532" max="1532" width="13.6640625" style="4" bestFit="1" customWidth="1"/>
    <col min="1533" max="1533" width="8.5" style="4" bestFit="1" customWidth="1"/>
    <col min="1534" max="1534" width="8.33203125" style="4" bestFit="1" customWidth="1"/>
    <col min="1535" max="1535" width="0.6640625" style="4" customWidth="1"/>
    <col min="1536" max="1536" width="13.6640625" style="4" bestFit="1" customWidth="1"/>
    <col min="1537" max="1537" width="8.5" style="4" bestFit="1" customWidth="1"/>
    <col min="1538" max="1538" width="8.33203125" style="4" bestFit="1" customWidth="1"/>
    <col min="1539" max="1539" width="0.5" style="4" customWidth="1"/>
    <col min="1540" max="1540" width="13.6640625" style="4" bestFit="1" customWidth="1"/>
    <col min="1541" max="1541" width="8.5" style="4" bestFit="1" customWidth="1"/>
    <col min="1542" max="1542" width="8.33203125" style="4" bestFit="1" customWidth="1"/>
    <col min="1543" max="1778" width="8.83203125" style="4"/>
    <col min="1779" max="1779" width="20.5" style="4" bestFit="1" customWidth="1"/>
    <col min="1780" max="1780" width="13.6640625" style="4" bestFit="1" customWidth="1"/>
    <col min="1781" max="1781" width="8.5" style="4" bestFit="1" customWidth="1"/>
    <col min="1782" max="1782" width="8.33203125" style="4" bestFit="1" customWidth="1"/>
    <col min="1783" max="1783" width="0.6640625" style="4" customWidth="1"/>
    <col min="1784" max="1784" width="13.6640625" style="4" bestFit="1" customWidth="1"/>
    <col min="1785" max="1785" width="8.5" style="4" bestFit="1" customWidth="1"/>
    <col min="1786" max="1786" width="8.33203125" style="4" bestFit="1" customWidth="1"/>
    <col min="1787" max="1787" width="0.83203125" style="4" customWidth="1"/>
    <col min="1788" max="1788" width="13.6640625" style="4" bestFit="1" customWidth="1"/>
    <col min="1789" max="1789" width="8.5" style="4" bestFit="1" customWidth="1"/>
    <col min="1790" max="1790" width="8.33203125" style="4" bestFit="1" customWidth="1"/>
    <col min="1791" max="1791" width="0.6640625" style="4" customWidth="1"/>
    <col min="1792" max="1792" width="13.6640625" style="4" bestFit="1" customWidth="1"/>
    <col min="1793" max="1793" width="8.5" style="4" bestFit="1" customWidth="1"/>
    <col min="1794" max="1794" width="8.33203125" style="4" bestFit="1" customWidth="1"/>
    <col min="1795" max="1795" width="0.5" style="4" customWidth="1"/>
    <col min="1796" max="1796" width="13.6640625" style="4" bestFit="1" customWidth="1"/>
    <col min="1797" max="1797" width="8.5" style="4" bestFit="1" customWidth="1"/>
    <col min="1798" max="1798" width="8.33203125" style="4" bestFit="1" customWidth="1"/>
    <col min="1799" max="2034" width="8.83203125" style="4"/>
    <col min="2035" max="2035" width="20.5" style="4" bestFit="1" customWidth="1"/>
    <col min="2036" max="2036" width="13.6640625" style="4" bestFit="1" customWidth="1"/>
    <col min="2037" max="2037" width="8.5" style="4" bestFit="1" customWidth="1"/>
    <col min="2038" max="2038" width="8.33203125" style="4" bestFit="1" customWidth="1"/>
    <col min="2039" max="2039" width="0.6640625" style="4" customWidth="1"/>
    <col min="2040" max="2040" width="13.6640625" style="4" bestFit="1" customWidth="1"/>
    <col min="2041" max="2041" width="8.5" style="4" bestFit="1" customWidth="1"/>
    <col min="2042" max="2042" width="8.33203125" style="4" bestFit="1" customWidth="1"/>
    <col min="2043" max="2043" width="0.83203125" style="4" customWidth="1"/>
    <col min="2044" max="2044" width="13.6640625" style="4" bestFit="1" customWidth="1"/>
    <col min="2045" max="2045" width="8.5" style="4" bestFit="1" customWidth="1"/>
    <col min="2046" max="2046" width="8.33203125" style="4" bestFit="1" customWidth="1"/>
    <col min="2047" max="2047" width="0.6640625" style="4" customWidth="1"/>
    <col min="2048" max="2048" width="13.6640625" style="4" bestFit="1" customWidth="1"/>
    <col min="2049" max="2049" width="8.5" style="4" bestFit="1" customWidth="1"/>
    <col min="2050" max="2050" width="8.33203125" style="4" bestFit="1" customWidth="1"/>
    <col min="2051" max="2051" width="0.5" style="4" customWidth="1"/>
    <col min="2052" max="2052" width="13.6640625" style="4" bestFit="1" customWidth="1"/>
    <col min="2053" max="2053" width="8.5" style="4" bestFit="1" customWidth="1"/>
    <col min="2054" max="2054" width="8.33203125" style="4" bestFit="1" customWidth="1"/>
    <col min="2055" max="2290" width="8.83203125" style="4"/>
    <col min="2291" max="2291" width="20.5" style="4" bestFit="1" customWidth="1"/>
    <col min="2292" max="2292" width="13.6640625" style="4" bestFit="1" customWidth="1"/>
    <col min="2293" max="2293" width="8.5" style="4" bestFit="1" customWidth="1"/>
    <col min="2294" max="2294" width="8.33203125" style="4" bestFit="1" customWidth="1"/>
    <col min="2295" max="2295" width="0.6640625" style="4" customWidth="1"/>
    <col min="2296" max="2296" width="13.6640625" style="4" bestFit="1" customWidth="1"/>
    <col min="2297" max="2297" width="8.5" style="4" bestFit="1" customWidth="1"/>
    <col min="2298" max="2298" width="8.33203125" style="4" bestFit="1" customWidth="1"/>
    <col min="2299" max="2299" width="0.83203125" style="4" customWidth="1"/>
    <col min="2300" max="2300" width="13.6640625" style="4" bestFit="1" customWidth="1"/>
    <col min="2301" max="2301" width="8.5" style="4" bestFit="1" customWidth="1"/>
    <col min="2302" max="2302" width="8.33203125" style="4" bestFit="1" customWidth="1"/>
    <col min="2303" max="2303" width="0.6640625" style="4" customWidth="1"/>
    <col min="2304" max="2304" width="13.6640625" style="4" bestFit="1" customWidth="1"/>
    <col min="2305" max="2305" width="8.5" style="4" bestFit="1" customWidth="1"/>
    <col min="2306" max="2306" width="8.33203125" style="4" bestFit="1" customWidth="1"/>
    <col min="2307" max="2307" width="0.5" style="4" customWidth="1"/>
    <col min="2308" max="2308" width="13.6640625" style="4" bestFit="1" customWidth="1"/>
    <col min="2309" max="2309" width="8.5" style="4" bestFit="1" customWidth="1"/>
    <col min="2310" max="2310" width="8.33203125" style="4" bestFit="1" customWidth="1"/>
    <col min="2311" max="2546" width="8.83203125" style="4"/>
    <col min="2547" max="2547" width="20.5" style="4" bestFit="1" customWidth="1"/>
    <col min="2548" max="2548" width="13.6640625" style="4" bestFit="1" customWidth="1"/>
    <col min="2549" max="2549" width="8.5" style="4" bestFit="1" customWidth="1"/>
    <col min="2550" max="2550" width="8.33203125" style="4" bestFit="1" customWidth="1"/>
    <col min="2551" max="2551" width="0.6640625" style="4" customWidth="1"/>
    <col min="2552" max="2552" width="13.6640625" style="4" bestFit="1" customWidth="1"/>
    <col min="2553" max="2553" width="8.5" style="4" bestFit="1" customWidth="1"/>
    <col min="2554" max="2554" width="8.33203125" style="4" bestFit="1" customWidth="1"/>
    <col min="2555" max="2555" width="0.83203125" style="4" customWidth="1"/>
    <col min="2556" max="2556" width="13.6640625" style="4" bestFit="1" customWidth="1"/>
    <col min="2557" max="2557" width="8.5" style="4" bestFit="1" customWidth="1"/>
    <col min="2558" max="2558" width="8.33203125" style="4" bestFit="1" customWidth="1"/>
    <col min="2559" max="2559" width="0.6640625" style="4" customWidth="1"/>
    <col min="2560" max="2560" width="13.6640625" style="4" bestFit="1" customWidth="1"/>
    <col min="2561" max="2561" width="8.5" style="4" bestFit="1" customWidth="1"/>
    <col min="2562" max="2562" width="8.33203125" style="4" bestFit="1" customWidth="1"/>
    <col min="2563" max="2563" width="0.5" style="4" customWidth="1"/>
    <col min="2564" max="2564" width="13.6640625" style="4" bestFit="1" customWidth="1"/>
    <col min="2565" max="2565" width="8.5" style="4" bestFit="1" customWidth="1"/>
    <col min="2566" max="2566" width="8.33203125" style="4" bestFit="1" customWidth="1"/>
    <col min="2567" max="2802" width="8.83203125" style="4"/>
    <col min="2803" max="2803" width="20.5" style="4" bestFit="1" customWidth="1"/>
    <col min="2804" max="2804" width="13.6640625" style="4" bestFit="1" customWidth="1"/>
    <col min="2805" max="2805" width="8.5" style="4" bestFit="1" customWidth="1"/>
    <col min="2806" max="2806" width="8.33203125" style="4" bestFit="1" customWidth="1"/>
    <col min="2807" max="2807" width="0.6640625" style="4" customWidth="1"/>
    <col min="2808" max="2808" width="13.6640625" style="4" bestFit="1" customWidth="1"/>
    <col min="2809" max="2809" width="8.5" style="4" bestFit="1" customWidth="1"/>
    <col min="2810" max="2810" width="8.33203125" style="4" bestFit="1" customWidth="1"/>
    <col min="2811" max="2811" width="0.83203125" style="4" customWidth="1"/>
    <col min="2812" max="2812" width="13.6640625" style="4" bestFit="1" customWidth="1"/>
    <col min="2813" max="2813" width="8.5" style="4" bestFit="1" customWidth="1"/>
    <col min="2814" max="2814" width="8.33203125" style="4" bestFit="1" customWidth="1"/>
    <col min="2815" max="2815" width="0.6640625" style="4" customWidth="1"/>
    <col min="2816" max="2816" width="13.6640625" style="4" bestFit="1" customWidth="1"/>
    <col min="2817" max="2817" width="8.5" style="4" bestFit="1" customWidth="1"/>
    <col min="2818" max="2818" width="8.33203125" style="4" bestFit="1" customWidth="1"/>
    <col min="2819" max="2819" width="0.5" style="4" customWidth="1"/>
    <col min="2820" max="2820" width="13.6640625" style="4" bestFit="1" customWidth="1"/>
    <col min="2821" max="2821" width="8.5" style="4" bestFit="1" customWidth="1"/>
    <col min="2822" max="2822" width="8.33203125" style="4" bestFit="1" customWidth="1"/>
    <col min="2823" max="3058" width="8.83203125" style="4"/>
    <col min="3059" max="3059" width="20.5" style="4" bestFit="1" customWidth="1"/>
    <col min="3060" max="3060" width="13.6640625" style="4" bestFit="1" customWidth="1"/>
    <col min="3061" max="3061" width="8.5" style="4" bestFit="1" customWidth="1"/>
    <col min="3062" max="3062" width="8.33203125" style="4" bestFit="1" customWidth="1"/>
    <col min="3063" max="3063" width="0.6640625" style="4" customWidth="1"/>
    <col min="3064" max="3064" width="13.6640625" style="4" bestFit="1" customWidth="1"/>
    <col min="3065" max="3065" width="8.5" style="4" bestFit="1" customWidth="1"/>
    <col min="3066" max="3066" width="8.33203125" style="4" bestFit="1" customWidth="1"/>
    <col min="3067" max="3067" width="0.83203125" style="4" customWidth="1"/>
    <col min="3068" max="3068" width="13.6640625" style="4" bestFit="1" customWidth="1"/>
    <col min="3069" max="3069" width="8.5" style="4" bestFit="1" customWidth="1"/>
    <col min="3070" max="3070" width="8.33203125" style="4" bestFit="1" customWidth="1"/>
    <col min="3071" max="3071" width="0.6640625" style="4" customWidth="1"/>
    <col min="3072" max="3072" width="13.6640625" style="4" bestFit="1" customWidth="1"/>
    <col min="3073" max="3073" width="8.5" style="4" bestFit="1" customWidth="1"/>
    <col min="3074" max="3074" width="8.33203125" style="4" bestFit="1" customWidth="1"/>
    <col min="3075" max="3075" width="0.5" style="4" customWidth="1"/>
    <col min="3076" max="3076" width="13.6640625" style="4" bestFit="1" customWidth="1"/>
    <col min="3077" max="3077" width="8.5" style="4" bestFit="1" customWidth="1"/>
    <col min="3078" max="3078" width="8.33203125" style="4" bestFit="1" customWidth="1"/>
    <col min="3079" max="3314" width="8.83203125" style="4"/>
    <col min="3315" max="3315" width="20.5" style="4" bestFit="1" customWidth="1"/>
    <col min="3316" max="3316" width="13.6640625" style="4" bestFit="1" customWidth="1"/>
    <col min="3317" max="3317" width="8.5" style="4" bestFit="1" customWidth="1"/>
    <col min="3318" max="3318" width="8.33203125" style="4" bestFit="1" customWidth="1"/>
    <col min="3319" max="3319" width="0.6640625" style="4" customWidth="1"/>
    <col min="3320" max="3320" width="13.6640625" style="4" bestFit="1" customWidth="1"/>
    <col min="3321" max="3321" width="8.5" style="4" bestFit="1" customWidth="1"/>
    <col min="3322" max="3322" width="8.33203125" style="4" bestFit="1" customWidth="1"/>
    <col min="3323" max="3323" width="0.83203125" style="4" customWidth="1"/>
    <col min="3324" max="3324" width="13.6640625" style="4" bestFit="1" customWidth="1"/>
    <col min="3325" max="3325" width="8.5" style="4" bestFit="1" customWidth="1"/>
    <col min="3326" max="3326" width="8.33203125" style="4" bestFit="1" customWidth="1"/>
    <col min="3327" max="3327" width="0.6640625" style="4" customWidth="1"/>
    <col min="3328" max="3328" width="13.6640625" style="4" bestFit="1" customWidth="1"/>
    <col min="3329" max="3329" width="8.5" style="4" bestFit="1" customWidth="1"/>
    <col min="3330" max="3330" width="8.33203125" style="4" bestFit="1" customWidth="1"/>
    <col min="3331" max="3331" width="0.5" style="4" customWidth="1"/>
    <col min="3332" max="3332" width="13.6640625" style="4" bestFit="1" customWidth="1"/>
    <col min="3333" max="3333" width="8.5" style="4" bestFit="1" customWidth="1"/>
    <col min="3334" max="3334" width="8.33203125" style="4" bestFit="1" customWidth="1"/>
    <col min="3335" max="3570" width="8.83203125" style="4"/>
    <col min="3571" max="3571" width="20.5" style="4" bestFit="1" customWidth="1"/>
    <col min="3572" max="3572" width="13.6640625" style="4" bestFit="1" customWidth="1"/>
    <col min="3573" max="3573" width="8.5" style="4" bestFit="1" customWidth="1"/>
    <col min="3574" max="3574" width="8.33203125" style="4" bestFit="1" customWidth="1"/>
    <col min="3575" max="3575" width="0.6640625" style="4" customWidth="1"/>
    <col min="3576" max="3576" width="13.6640625" style="4" bestFit="1" customWidth="1"/>
    <col min="3577" max="3577" width="8.5" style="4" bestFit="1" customWidth="1"/>
    <col min="3578" max="3578" width="8.33203125" style="4" bestFit="1" customWidth="1"/>
    <col min="3579" max="3579" width="0.83203125" style="4" customWidth="1"/>
    <col min="3580" max="3580" width="13.6640625" style="4" bestFit="1" customWidth="1"/>
    <col min="3581" max="3581" width="8.5" style="4" bestFit="1" customWidth="1"/>
    <col min="3582" max="3582" width="8.33203125" style="4" bestFit="1" customWidth="1"/>
    <col min="3583" max="3583" width="0.6640625" style="4" customWidth="1"/>
    <col min="3584" max="3584" width="13.6640625" style="4" bestFit="1" customWidth="1"/>
    <col min="3585" max="3585" width="8.5" style="4" bestFit="1" customWidth="1"/>
    <col min="3586" max="3586" width="8.33203125" style="4" bestFit="1" customWidth="1"/>
    <col min="3587" max="3587" width="0.5" style="4" customWidth="1"/>
    <col min="3588" max="3588" width="13.6640625" style="4" bestFit="1" customWidth="1"/>
    <col min="3589" max="3589" width="8.5" style="4" bestFit="1" customWidth="1"/>
    <col min="3590" max="3590" width="8.33203125" style="4" bestFit="1" customWidth="1"/>
    <col min="3591" max="3826" width="8.83203125" style="4"/>
    <col min="3827" max="3827" width="20.5" style="4" bestFit="1" customWidth="1"/>
    <col min="3828" max="3828" width="13.6640625" style="4" bestFit="1" customWidth="1"/>
    <col min="3829" max="3829" width="8.5" style="4" bestFit="1" customWidth="1"/>
    <col min="3830" max="3830" width="8.33203125" style="4" bestFit="1" customWidth="1"/>
    <col min="3831" max="3831" width="0.6640625" style="4" customWidth="1"/>
    <col min="3832" max="3832" width="13.6640625" style="4" bestFit="1" customWidth="1"/>
    <col min="3833" max="3833" width="8.5" style="4" bestFit="1" customWidth="1"/>
    <col min="3834" max="3834" width="8.33203125" style="4" bestFit="1" customWidth="1"/>
    <col min="3835" max="3835" width="0.83203125" style="4" customWidth="1"/>
    <col min="3836" max="3836" width="13.6640625" style="4" bestFit="1" customWidth="1"/>
    <col min="3837" max="3837" width="8.5" style="4" bestFit="1" customWidth="1"/>
    <col min="3838" max="3838" width="8.33203125" style="4" bestFit="1" customWidth="1"/>
    <col min="3839" max="3839" width="0.6640625" style="4" customWidth="1"/>
    <col min="3840" max="3840" width="13.6640625" style="4" bestFit="1" customWidth="1"/>
    <col min="3841" max="3841" width="8.5" style="4" bestFit="1" customWidth="1"/>
    <col min="3842" max="3842" width="8.33203125" style="4" bestFit="1" customWidth="1"/>
    <col min="3843" max="3843" width="0.5" style="4" customWidth="1"/>
    <col min="3844" max="3844" width="13.6640625" style="4" bestFit="1" customWidth="1"/>
    <col min="3845" max="3845" width="8.5" style="4" bestFit="1" customWidth="1"/>
    <col min="3846" max="3846" width="8.33203125" style="4" bestFit="1" customWidth="1"/>
    <col min="3847" max="4082" width="8.83203125" style="4"/>
    <col min="4083" max="4083" width="20.5" style="4" bestFit="1" customWidth="1"/>
    <col min="4084" max="4084" width="13.6640625" style="4" bestFit="1" customWidth="1"/>
    <col min="4085" max="4085" width="8.5" style="4" bestFit="1" customWidth="1"/>
    <col min="4086" max="4086" width="8.33203125" style="4" bestFit="1" customWidth="1"/>
    <col min="4087" max="4087" width="0.6640625" style="4" customWidth="1"/>
    <col min="4088" max="4088" width="13.6640625" style="4" bestFit="1" customWidth="1"/>
    <col min="4089" max="4089" width="8.5" style="4" bestFit="1" customWidth="1"/>
    <col min="4090" max="4090" width="8.33203125" style="4" bestFit="1" customWidth="1"/>
    <col min="4091" max="4091" width="0.83203125" style="4" customWidth="1"/>
    <col min="4092" max="4092" width="13.6640625" style="4" bestFit="1" customWidth="1"/>
    <col min="4093" max="4093" width="8.5" style="4" bestFit="1" customWidth="1"/>
    <col min="4094" max="4094" width="8.33203125" style="4" bestFit="1" customWidth="1"/>
    <col min="4095" max="4095" width="0.6640625" style="4" customWidth="1"/>
    <col min="4096" max="4096" width="13.6640625" style="4" bestFit="1" customWidth="1"/>
    <col min="4097" max="4097" width="8.5" style="4" bestFit="1" customWidth="1"/>
    <col min="4098" max="4098" width="8.33203125" style="4" bestFit="1" customWidth="1"/>
    <col min="4099" max="4099" width="0.5" style="4" customWidth="1"/>
    <col min="4100" max="4100" width="13.6640625" style="4" bestFit="1" customWidth="1"/>
    <col min="4101" max="4101" width="8.5" style="4" bestFit="1" customWidth="1"/>
    <col min="4102" max="4102" width="8.33203125" style="4" bestFit="1" customWidth="1"/>
    <col min="4103" max="4338" width="8.83203125" style="4"/>
    <col min="4339" max="4339" width="20.5" style="4" bestFit="1" customWidth="1"/>
    <col min="4340" max="4340" width="13.6640625" style="4" bestFit="1" customWidth="1"/>
    <col min="4341" max="4341" width="8.5" style="4" bestFit="1" customWidth="1"/>
    <col min="4342" max="4342" width="8.33203125" style="4" bestFit="1" customWidth="1"/>
    <col min="4343" max="4343" width="0.6640625" style="4" customWidth="1"/>
    <col min="4344" max="4344" width="13.6640625" style="4" bestFit="1" customWidth="1"/>
    <col min="4345" max="4345" width="8.5" style="4" bestFit="1" customWidth="1"/>
    <col min="4346" max="4346" width="8.33203125" style="4" bestFit="1" customWidth="1"/>
    <col min="4347" max="4347" width="0.83203125" style="4" customWidth="1"/>
    <col min="4348" max="4348" width="13.6640625" style="4" bestFit="1" customWidth="1"/>
    <col min="4349" max="4349" width="8.5" style="4" bestFit="1" customWidth="1"/>
    <col min="4350" max="4350" width="8.33203125" style="4" bestFit="1" customWidth="1"/>
    <col min="4351" max="4351" width="0.6640625" style="4" customWidth="1"/>
    <col min="4352" max="4352" width="13.6640625" style="4" bestFit="1" customWidth="1"/>
    <col min="4353" max="4353" width="8.5" style="4" bestFit="1" customWidth="1"/>
    <col min="4354" max="4354" width="8.33203125" style="4" bestFit="1" customWidth="1"/>
    <col min="4355" max="4355" width="0.5" style="4" customWidth="1"/>
    <col min="4356" max="4356" width="13.6640625" style="4" bestFit="1" customWidth="1"/>
    <col min="4357" max="4357" width="8.5" style="4" bestFit="1" customWidth="1"/>
    <col min="4358" max="4358" width="8.33203125" style="4" bestFit="1" customWidth="1"/>
    <col min="4359" max="4594" width="8.83203125" style="4"/>
    <col min="4595" max="4595" width="20.5" style="4" bestFit="1" customWidth="1"/>
    <col min="4596" max="4596" width="13.6640625" style="4" bestFit="1" customWidth="1"/>
    <col min="4597" max="4597" width="8.5" style="4" bestFit="1" customWidth="1"/>
    <col min="4598" max="4598" width="8.33203125" style="4" bestFit="1" customWidth="1"/>
    <col min="4599" max="4599" width="0.6640625" style="4" customWidth="1"/>
    <col min="4600" max="4600" width="13.6640625" style="4" bestFit="1" customWidth="1"/>
    <col min="4601" max="4601" width="8.5" style="4" bestFit="1" customWidth="1"/>
    <col min="4602" max="4602" width="8.33203125" style="4" bestFit="1" customWidth="1"/>
    <col min="4603" max="4603" width="0.83203125" style="4" customWidth="1"/>
    <col min="4604" max="4604" width="13.6640625" style="4" bestFit="1" customWidth="1"/>
    <col min="4605" max="4605" width="8.5" style="4" bestFit="1" customWidth="1"/>
    <col min="4606" max="4606" width="8.33203125" style="4" bestFit="1" customWidth="1"/>
    <col min="4607" max="4607" width="0.6640625" style="4" customWidth="1"/>
    <col min="4608" max="4608" width="13.6640625" style="4" bestFit="1" customWidth="1"/>
    <col min="4609" max="4609" width="8.5" style="4" bestFit="1" customWidth="1"/>
    <col min="4610" max="4610" width="8.33203125" style="4" bestFit="1" customWidth="1"/>
    <col min="4611" max="4611" width="0.5" style="4" customWidth="1"/>
    <col min="4612" max="4612" width="13.6640625" style="4" bestFit="1" customWidth="1"/>
    <col min="4613" max="4613" width="8.5" style="4" bestFit="1" customWidth="1"/>
    <col min="4614" max="4614" width="8.33203125" style="4" bestFit="1" customWidth="1"/>
    <col min="4615" max="4850" width="8.83203125" style="4"/>
    <col min="4851" max="4851" width="20.5" style="4" bestFit="1" customWidth="1"/>
    <col min="4852" max="4852" width="13.6640625" style="4" bestFit="1" customWidth="1"/>
    <col min="4853" max="4853" width="8.5" style="4" bestFit="1" customWidth="1"/>
    <col min="4854" max="4854" width="8.33203125" style="4" bestFit="1" customWidth="1"/>
    <col min="4855" max="4855" width="0.6640625" style="4" customWidth="1"/>
    <col min="4856" max="4856" width="13.6640625" style="4" bestFit="1" customWidth="1"/>
    <col min="4857" max="4857" width="8.5" style="4" bestFit="1" customWidth="1"/>
    <col min="4858" max="4858" width="8.33203125" style="4" bestFit="1" customWidth="1"/>
    <col min="4859" max="4859" width="0.83203125" style="4" customWidth="1"/>
    <col min="4860" max="4860" width="13.6640625" style="4" bestFit="1" customWidth="1"/>
    <col min="4861" max="4861" width="8.5" style="4" bestFit="1" customWidth="1"/>
    <col min="4862" max="4862" width="8.33203125" style="4" bestFit="1" customWidth="1"/>
    <col min="4863" max="4863" width="0.6640625" style="4" customWidth="1"/>
    <col min="4864" max="4864" width="13.6640625" style="4" bestFit="1" customWidth="1"/>
    <col min="4865" max="4865" width="8.5" style="4" bestFit="1" customWidth="1"/>
    <col min="4866" max="4866" width="8.33203125" style="4" bestFit="1" customWidth="1"/>
    <col min="4867" max="4867" width="0.5" style="4" customWidth="1"/>
    <col min="4868" max="4868" width="13.6640625" style="4" bestFit="1" customWidth="1"/>
    <col min="4869" max="4869" width="8.5" style="4" bestFit="1" customWidth="1"/>
    <col min="4870" max="4870" width="8.33203125" style="4" bestFit="1" customWidth="1"/>
    <col min="4871" max="5106" width="8.83203125" style="4"/>
    <col min="5107" max="5107" width="20.5" style="4" bestFit="1" customWidth="1"/>
    <col min="5108" max="5108" width="13.6640625" style="4" bestFit="1" customWidth="1"/>
    <col min="5109" max="5109" width="8.5" style="4" bestFit="1" customWidth="1"/>
    <col min="5110" max="5110" width="8.33203125" style="4" bestFit="1" customWidth="1"/>
    <col min="5111" max="5111" width="0.6640625" style="4" customWidth="1"/>
    <col min="5112" max="5112" width="13.6640625" style="4" bestFit="1" customWidth="1"/>
    <col min="5113" max="5113" width="8.5" style="4" bestFit="1" customWidth="1"/>
    <col min="5114" max="5114" width="8.33203125" style="4" bestFit="1" customWidth="1"/>
    <col min="5115" max="5115" width="0.83203125" style="4" customWidth="1"/>
    <col min="5116" max="5116" width="13.6640625" style="4" bestFit="1" customWidth="1"/>
    <col min="5117" max="5117" width="8.5" style="4" bestFit="1" customWidth="1"/>
    <col min="5118" max="5118" width="8.33203125" style="4" bestFit="1" customWidth="1"/>
    <col min="5119" max="5119" width="0.6640625" style="4" customWidth="1"/>
    <col min="5120" max="5120" width="13.6640625" style="4" bestFit="1" customWidth="1"/>
    <col min="5121" max="5121" width="8.5" style="4" bestFit="1" customWidth="1"/>
    <col min="5122" max="5122" width="8.33203125" style="4" bestFit="1" customWidth="1"/>
    <col min="5123" max="5123" width="0.5" style="4" customWidth="1"/>
    <col min="5124" max="5124" width="13.6640625" style="4" bestFit="1" customWidth="1"/>
    <col min="5125" max="5125" width="8.5" style="4" bestFit="1" customWidth="1"/>
    <col min="5126" max="5126" width="8.33203125" style="4" bestFit="1" customWidth="1"/>
    <col min="5127" max="5362" width="8.83203125" style="4"/>
    <col min="5363" max="5363" width="20.5" style="4" bestFit="1" customWidth="1"/>
    <col min="5364" max="5364" width="13.6640625" style="4" bestFit="1" customWidth="1"/>
    <col min="5365" max="5365" width="8.5" style="4" bestFit="1" customWidth="1"/>
    <col min="5366" max="5366" width="8.33203125" style="4" bestFit="1" customWidth="1"/>
    <col min="5367" max="5367" width="0.6640625" style="4" customWidth="1"/>
    <col min="5368" max="5368" width="13.6640625" style="4" bestFit="1" customWidth="1"/>
    <col min="5369" max="5369" width="8.5" style="4" bestFit="1" customWidth="1"/>
    <col min="5370" max="5370" width="8.33203125" style="4" bestFit="1" customWidth="1"/>
    <col min="5371" max="5371" width="0.83203125" style="4" customWidth="1"/>
    <col min="5372" max="5372" width="13.6640625" style="4" bestFit="1" customWidth="1"/>
    <col min="5373" max="5373" width="8.5" style="4" bestFit="1" customWidth="1"/>
    <col min="5374" max="5374" width="8.33203125" style="4" bestFit="1" customWidth="1"/>
    <col min="5375" max="5375" width="0.6640625" style="4" customWidth="1"/>
    <col min="5376" max="5376" width="13.6640625" style="4" bestFit="1" customWidth="1"/>
    <col min="5377" max="5377" width="8.5" style="4" bestFit="1" customWidth="1"/>
    <col min="5378" max="5378" width="8.33203125" style="4" bestFit="1" customWidth="1"/>
    <col min="5379" max="5379" width="0.5" style="4" customWidth="1"/>
    <col min="5380" max="5380" width="13.6640625" style="4" bestFit="1" customWidth="1"/>
    <col min="5381" max="5381" width="8.5" style="4" bestFit="1" customWidth="1"/>
    <col min="5382" max="5382" width="8.33203125" style="4" bestFit="1" customWidth="1"/>
    <col min="5383" max="5618" width="8.83203125" style="4"/>
    <col min="5619" max="5619" width="20.5" style="4" bestFit="1" customWidth="1"/>
    <col min="5620" max="5620" width="13.6640625" style="4" bestFit="1" customWidth="1"/>
    <col min="5621" max="5621" width="8.5" style="4" bestFit="1" customWidth="1"/>
    <col min="5622" max="5622" width="8.33203125" style="4" bestFit="1" customWidth="1"/>
    <col min="5623" max="5623" width="0.6640625" style="4" customWidth="1"/>
    <col min="5624" max="5624" width="13.6640625" style="4" bestFit="1" customWidth="1"/>
    <col min="5625" max="5625" width="8.5" style="4" bestFit="1" customWidth="1"/>
    <col min="5626" max="5626" width="8.33203125" style="4" bestFit="1" customWidth="1"/>
    <col min="5627" max="5627" width="0.83203125" style="4" customWidth="1"/>
    <col min="5628" max="5628" width="13.6640625" style="4" bestFit="1" customWidth="1"/>
    <col min="5629" max="5629" width="8.5" style="4" bestFit="1" customWidth="1"/>
    <col min="5630" max="5630" width="8.33203125" style="4" bestFit="1" customWidth="1"/>
    <col min="5631" max="5631" width="0.6640625" style="4" customWidth="1"/>
    <col min="5632" max="5632" width="13.6640625" style="4" bestFit="1" customWidth="1"/>
    <col min="5633" max="5633" width="8.5" style="4" bestFit="1" customWidth="1"/>
    <col min="5634" max="5634" width="8.33203125" style="4" bestFit="1" customWidth="1"/>
    <col min="5635" max="5635" width="0.5" style="4" customWidth="1"/>
    <col min="5636" max="5636" width="13.6640625" style="4" bestFit="1" customWidth="1"/>
    <col min="5637" max="5637" width="8.5" style="4" bestFit="1" customWidth="1"/>
    <col min="5638" max="5638" width="8.33203125" style="4" bestFit="1" customWidth="1"/>
    <col min="5639" max="5874" width="8.83203125" style="4"/>
    <col min="5875" max="5875" width="20.5" style="4" bestFit="1" customWidth="1"/>
    <col min="5876" max="5876" width="13.6640625" style="4" bestFit="1" customWidth="1"/>
    <col min="5877" max="5877" width="8.5" style="4" bestFit="1" customWidth="1"/>
    <col min="5878" max="5878" width="8.33203125" style="4" bestFit="1" customWidth="1"/>
    <col min="5879" max="5879" width="0.6640625" style="4" customWidth="1"/>
    <col min="5880" max="5880" width="13.6640625" style="4" bestFit="1" customWidth="1"/>
    <col min="5881" max="5881" width="8.5" style="4" bestFit="1" customWidth="1"/>
    <col min="5882" max="5882" width="8.33203125" style="4" bestFit="1" customWidth="1"/>
    <col min="5883" max="5883" width="0.83203125" style="4" customWidth="1"/>
    <col min="5884" max="5884" width="13.6640625" style="4" bestFit="1" customWidth="1"/>
    <col min="5885" max="5885" width="8.5" style="4" bestFit="1" customWidth="1"/>
    <col min="5886" max="5886" width="8.33203125" style="4" bestFit="1" customWidth="1"/>
    <col min="5887" max="5887" width="0.6640625" style="4" customWidth="1"/>
    <col min="5888" max="5888" width="13.6640625" style="4" bestFit="1" customWidth="1"/>
    <col min="5889" max="5889" width="8.5" style="4" bestFit="1" customWidth="1"/>
    <col min="5890" max="5890" width="8.33203125" style="4" bestFit="1" customWidth="1"/>
    <col min="5891" max="5891" width="0.5" style="4" customWidth="1"/>
    <col min="5892" max="5892" width="13.6640625" style="4" bestFit="1" customWidth="1"/>
    <col min="5893" max="5893" width="8.5" style="4" bestFit="1" customWidth="1"/>
    <col min="5894" max="5894" width="8.33203125" style="4" bestFit="1" customWidth="1"/>
    <col min="5895" max="6130" width="8.83203125" style="4"/>
    <col min="6131" max="6131" width="20.5" style="4" bestFit="1" customWidth="1"/>
    <col min="6132" max="6132" width="13.6640625" style="4" bestFit="1" customWidth="1"/>
    <col min="6133" max="6133" width="8.5" style="4" bestFit="1" customWidth="1"/>
    <col min="6134" max="6134" width="8.33203125" style="4" bestFit="1" customWidth="1"/>
    <col min="6135" max="6135" width="0.6640625" style="4" customWidth="1"/>
    <col min="6136" max="6136" width="13.6640625" style="4" bestFit="1" customWidth="1"/>
    <col min="6137" max="6137" width="8.5" style="4" bestFit="1" customWidth="1"/>
    <col min="6138" max="6138" width="8.33203125" style="4" bestFit="1" customWidth="1"/>
    <col min="6139" max="6139" width="0.83203125" style="4" customWidth="1"/>
    <col min="6140" max="6140" width="13.6640625" style="4" bestFit="1" customWidth="1"/>
    <col min="6141" max="6141" width="8.5" style="4" bestFit="1" customWidth="1"/>
    <col min="6142" max="6142" width="8.33203125" style="4" bestFit="1" customWidth="1"/>
    <col min="6143" max="6143" width="0.6640625" style="4" customWidth="1"/>
    <col min="6144" max="6144" width="13.6640625" style="4" bestFit="1" customWidth="1"/>
    <col min="6145" max="6145" width="8.5" style="4" bestFit="1" customWidth="1"/>
    <col min="6146" max="6146" width="8.33203125" style="4" bestFit="1" customWidth="1"/>
    <col min="6147" max="6147" width="0.5" style="4" customWidth="1"/>
    <col min="6148" max="6148" width="13.6640625" style="4" bestFit="1" customWidth="1"/>
    <col min="6149" max="6149" width="8.5" style="4" bestFit="1" customWidth="1"/>
    <col min="6150" max="6150" width="8.33203125" style="4" bestFit="1" customWidth="1"/>
    <col min="6151" max="6386" width="8.83203125" style="4"/>
    <col min="6387" max="6387" width="20.5" style="4" bestFit="1" customWidth="1"/>
    <col min="6388" max="6388" width="13.6640625" style="4" bestFit="1" customWidth="1"/>
    <col min="6389" max="6389" width="8.5" style="4" bestFit="1" customWidth="1"/>
    <col min="6390" max="6390" width="8.33203125" style="4" bestFit="1" customWidth="1"/>
    <col min="6391" max="6391" width="0.6640625" style="4" customWidth="1"/>
    <col min="6392" max="6392" width="13.6640625" style="4" bestFit="1" customWidth="1"/>
    <col min="6393" max="6393" width="8.5" style="4" bestFit="1" customWidth="1"/>
    <col min="6394" max="6394" width="8.33203125" style="4" bestFit="1" customWidth="1"/>
    <col min="6395" max="6395" width="0.83203125" style="4" customWidth="1"/>
    <col min="6396" max="6396" width="13.6640625" style="4" bestFit="1" customWidth="1"/>
    <col min="6397" max="6397" width="8.5" style="4" bestFit="1" customWidth="1"/>
    <col min="6398" max="6398" width="8.33203125" style="4" bestFit="1" customWidth="1"/>
    <col min="6399" max="6399" width="0.6640625" style="4" customWidth="1"/>
    <col min="6400" max="6400" width="13.6640625" style="4" bestFit="1" customWidth="1"/>
    <col min="6401" max="6401" width="8.5" style="4" bestFit="1" customWidth="1"/>
    <col min="6402" max="6402" width="8.33203125" style="4" bestFit="1" customWidth="1"/>
    <col min="6403" max="6403" width="0.5" style="4" customWidth="1"/>
    <col min="6404" max="6404" width="13.6640625" style="4" bestFit="1" customWidth="1"/>
    <col min="6405" max="6405" width="8.5" style="4" bestFit="1" customWidth="1"/>
    <col min="6406" max="6406" width="8.33203125" style="4" bestFit="1" customWidth="1"/>
    <col min="6407" max="6642" width="8.83203125" style="4"/>
    <col min="6643" max="6643" width="20.5" style="4" bestFit="1" customWidth="1"/>
    <col min="6644" max="6644" width="13.6640625" style="4" bestFit="1" customWidth="1"/>
    <col min="6645" max="6645" width="8.5" style="4" bestFit="1" customWidth="1"/>
    <col min="6646" max="6646" width="8.33203125" style="4" bestFit="1" customWidth="1"/>
    <col min="6647" max="6647" width="0.6640625" style="4" customWidth="1"/>
    <col min="6648" max="6648" width="13.6640625" style="4" bestFit="1" customWidth="1"/>
    <col min="6649" max="6649" width="8.5" style="4" bestFit="1" customWidth="1"/>
    <col min="6650" max="6650" width="8.33203125" style="4" bestFit="1" customWidth="1"/>
    <col min="6651" max="6651" width="0.83203125" style="4" customWidth="1"/>
    <col min="6652" max="6652" width="13.6640625" style="4" bestFit="1" customWidth="1"/>
    <col min="6653" max="6653" width="8.5" style="4" bestFit="1" customWidth="1"/>
    <col min="6654" max="6654" width="8.33203125" style="4" bestFit="1" customWidth="1"/>
    <col min="6655" max="6655" width="0.6640625" style="4" customWidth="1"/>
    <col min="6656" max="6656" width="13.6640625" style="4" bestFit="1" customWidth="1"/>
    <col min="6657" max="6657" width="8.5" style="4" bestFit="1" customWidth="1"/>
    <col min="6658" max="6658" width="8.33203125" style="4" bestFit="1" customWidth="1"/>
    <col min="6659" max="6659" width="0.5" style="4" customWidth="1"/>
    <col min="6660" max="6660" width="13.6640625" style="4" bestFit="1" customWidth="1"/>
    <col min="6661" max="6661" width="8.5" style="4" bestFit="1" customWidth="1"/>
    <col min="6662" max="6662" width="8.33203125" style="4" bestFit="1" customWidth="1"/>
    <col min="6663" max="6898" width="8.83203125" style="4"/>
    <col min="6899" max="6899" width="20.5" style="4" bestFit="1" customWidth="1"/>
    <col min="6900" max="6900" width="13.6640625" style="4" bestFit="1" customWidth="1"/>
    <col min="6901" max="6901" width="8.5" style="4" bestFit="1" customWidth="1"/>
    <col min="6902" max="6902" width="8.33203125" style="4" bestFit="1" customWidth="1"/>
    <col min="6903" max="6903" width="0.6640625" style="4" customWidth="1"/>
    <col min="6904" max="6904" width="13.6640625" style="4" bestFit="1" customWidth="1"/>
    <col min="6905" max="6905" width="8.5" style="4" bestFit="1" customWidth="1"/>
    <col min="6906" max="6906" width="8.33203125" style="4" bestFit="1" customWidth="1"/>
    <col min="6907" max="6907" width="0.83203125" style="4" customWidth="1"/>
    <col min="6908" max="6908" width="13.6640625" style="4" bestFit="1" customWidth="1"/>
    <col min="6909" max="6909" width="8.5" style="4" bestFit="1" customWidth="1"/>
    <col min="6910" max="6910" width="8.33203125" style="4" bestFit="1" customWidth="1"/>
    <col min="6911" max="6911" width="0.6640625" style="4" customWidth="1"/>
    <col min="6912" max="6912" width="13.6640625" style="4" bestFit="1" customWidth="1"/>
    <col min="6913" max="6913" width="8.5" style="4" bestFit="1" customWidth="1"/>
    <col min="6914" max="6914" width="8.33203125" style="4" bestFit="1" customWidth="1"/>
    <col min="6915" max="6915" width="0.5" style="4" customWidth="1"/>
    <col min="6916" max="6916" width="13.6640625" style="4" bestFit="1" customWidth="1"/>
    <col min="6917" max="6917" width="8.5" style="4" bestFit="1" customWidth="1"/>
    <col min="6918" max="6918" width="8.33203125" style="4" bestFit="1" customWidth="1"/>
    <col min="6919" max="7154" width="8.83203125" style="4"/>
    <col min="7155" max="7155" width="20.5" style="4" bestFit="1" customWidth="1"/>
    <col min="7156" max="7156" width="13.6640625" style="4" bestFit="1" customWidth="1"/>
    <col min="7157" max="7157" width="8.5" style="4" bestFit="1" customWidth="1"/>
    <col min="7158" max="7158" width="8.33203125" style="4" bestFit="1" customWidth="1"/>
    <col min="7159" max="7159" width="0.6640625" style="4" customWidth="1"/>
    <col min="7160" max="7160" width="13.6640625" style="4" bestFit="1" customWidth="1"/>
    <col min="7161" max="7161" width="8.5" style="4" bestFit="1" customWidth="1"/>
    <col min="7162" max="7162" width="8.33203125" style="4" bestFit="1" customWidth="1"/>
    <col min="7163" max="7163" width="0.83203125" style="4" customWidth="1"/>
    <col min="7164" max="7164" width="13.6640625" style="4" bestFit="1" customWidth="1"/>
    <col min="7165" max="7165" width="8.5" style="4" bestFit="1" customWidth="1"/>
    <col min="7166" max="7166" width="8.33203125" style="4" bestFit="1" customWidth="1"/>
    <col min="7167" max="7167" width="0.6640625" style="4" customWidth="1"/>
    <col min="7168" max="7168" width="13.6640625" style="4" bestFit="1" customWidth="1"/>
    <col min="7169" max="7169" width="8.5" style="4" bestFit="1" customWidth="1"/>
    <col min="7170" max="7170" width="8.33203125" style="4" bestFit="1" customWidth="1"/>
    <col min="7171" max="7171" width="0.5" style="4" customWidth="1"/>
    <col min="7172" max="7172" width="13.6640625" style="4" bestFit="1" customWidth="1"/>
    <col min="7173" max="7173" width="8.5" style="4" bestFit="1" customWidth="1"/>
    <col min="7174" max="7174" width="8.33203125" style="4" bestFit="1" customWidth="1"/>
    <col min="7175" max="7410" width="8.83203125" style="4"/>
    <col min="7411" max="7411" width="20.5" style="4" bestFit="1" customWidth="1"/>
    <col min="7412" max="7412" width="13.6640625" style="4" bestFit="1" customWidth="1"/>
    <col min="7413" max="7413" width="8.5" style="4" bestFit="1" customWidth="1"/>
    <col min="7414" max="7414" width="8.33203125" style="4" bestFit="1" customWidth="1"/>
    <col min="7415" max="7415" width="0.6640625" style="4" customWidth="1"/>
    <col min="7416" max="7416" width="13.6640625" style="4" bestFit="1" customWidth="1"/>
    <col min="7417" max="7417" width="8.5" style="4" bestFit="1" customWidth="1"/>
    <col min="7418" max="7418" width="8.33203125" style="4" bestFit="1" customWidth="1"/>
    <col min="7419" max="7419" width="0.83203125" style="4" customWidth="1"/>
    <col min="7420" max="7420" width="13.6640625" style="4" bestFit="1" customWidth="1"/>
    <col min="7421" max="7421" width="8.5" style="4" bestFit="1" customWidth="1"/>
    <col min="7422" max="7422" width="8.33203125" style="4" bestFit="1" customWidth="1"/>
    <col min="7423" max="7423" width="0.6640625" style="4" customWidth="1"/>
    <col min="7424" max="7424" width="13.6640625" style="4" bestFit="1" customWidth="1"/>
    <col min="7425" max="7425" width="8.5" style="4" bestFit="1" customWidth="1"/>
    <col min="7426" max="7426" width="8.33203125" style="4" bestFit="1" customWidth="1"/>
    <col min="7427" max="7427" width="0.5" style="4" customWidth="1"/>
    <col min="7428" max="7428" width="13.6640625" style="4" bestFit="1" customWidth="1"/>
    <col min="7429" max="7429" width="8.5" style="4" bestFit="1" customWidth="1"/>
    <col min="7430" max="7430" width="8.33203125" style="4" bestFit="1" customWidth="1"/>
    <col min="7431" max="7666" width="8.83203125" style="4"/>
    <col min="7667" max="7667" width="20.5" style="4" bestFit="1" customWidth="1"/>
    <col min="7668" max="7668" width="13.6640625" style="4" bestFit="1" customWidth="1"/>
    <col min="7669" max="7669" width="8.5" style="4" bestFit="1" customWidth="1"/>
    <col min="7670" max="7670" width="8.33203125" style="4" bestFit="1" customWidth="1"/>
    <col min="7671" max="7671" width="0.6640625" style="4" customWidth="1"/>
    <col min="7672" max="7672" width="13.6640625" style="4" bestFit="1" customWidth="1"/>
    <col min="7673" max="7673" width="8.5" style="4" bestFit="1" customWidth="1"/>
    <col min="7674" max="7674" width="8.33203125" style="4" bestFit="1" customWidth="1"/>
    <col min="7675" max="7675" width="0.83203125" style="4" customWidth="1"/>
    <col min="7676" max="7676" width="13.6640625" style="4" bestFit="1" customWidth="1"/>
    <col min="7677" max="7677" width="8.5" style="4" bestFit="1" customWidth="1"/>
    <col min="7678" max="7678" width="8.33203125" style="4" bestFit="1" customWidth="1"/>
    <col min="7679" max="7679" width="0.6640625" style="4" customWidth="1"/>
    <col min="7680" max="7680" width="13.6640625" style="4" bestFit="1" customWidth="1"/>
    <col min="7681" max="7681" width="8.5" style="4" bestFit="1" customWidth="1"/>
    <col min="7682" max="7682" width="8.33203125" style="4" bestFit="1" customWidth="1"/>
    <col min="7683" max="7683" width="0.5" style="4" customWidth="1"/>
    <col min="7684" max="7684" width="13.6640625" style="4" bestFit="1" customWidth="1"/>
    <col min="7685" max="7685" width="8.5" style="4" bestFit="1" customWidth="1"/>
    <col min="7686" max="7686" width="8.33203125" style="4" bestFit="1" customWidth="1"/>
    <col min="7687" max="7922" width="8.83203125" style="4"/>
    <col min="7923" max="7923" width="20.5" style="4" bestFit="1" customWidth="1"/>
    <col min="7924" max="7924" width="13.6640625" style="4" bestFit="1" customWidth="1"/>
    <col min="7925" max="7925" width="8.5" style="4" bestFit="1" customWidth="1"/>
    <col min="7926" max="7926" width="8.33203125" style="4" bestFit="1" customWidth="1"/>
    <col min="7927" max="7927" width="0.6640625" style="4" customWidth="1"/>
    <col min="7928" max="7928" width="13.6640625" style="4" bestFit="1" customWidth="1"/>
    <col min="7929" max="7929" width="8.5" style="4" bestFit="1" customWidth="1"/>
    <col min="7930" max="7930" width="8.33203125" style="4" bestFit="1" customWidth="1"/>
    <col min="7931" max="7931" width="0.83203125" style="4" customWidth="1"/>
    <col min="7932" max="7932" width="13.6640625" style="4" bestFit="1" customWidth="1"/>
    <col min="7933" max="7933" width="8.5" style="4" bestFit="1" customWidth="1"/>
    <col min="7934" max="7934" width="8.33203125" style="4" bestFit="1" customWidth="1"/>
    <col min="7935" max="7935" width="0.6640625" style="4" customWidth="1"/>
    <col min="7936" max="7936" width="13.6640625" style="4" bestFit="1" customWidth="1"/>
    <col min="7937" max="7937" width="8.5" style="4" bestFit="1" customWidth="1"/>
    <col min="7938" max="7938" width="8.33203125" style="4" bestFit="1" customWidth="1"/>
    <col min="7939" max="7939" width="0.5" style="4" customWidth="1"/>
    <col min="7940" max="7940" width="13.6640625" style="4" bestFit="1" customWidth="1"/>
    <col min="7941" max="7941" width="8.5" style="4" bestFit="1" customWidth="1"/>
    <col min="7942" max="7942" width="8.33203125" style="4" bestFit="1" customWidth="1"/>
    <col min="7943" max="8178" width="8.83203125" style="4"/>
    <col min="8179" max="8179" width="20.5" style="4" bestFit="1" customWidth="1"/>
    <col min="8180" max="8180" width="13.6640625" style="4" bestFit="1" customWidth="1"/>
    <col min="8181" max="8181" width="8.5" style="4" bestFit="1" customWidth="1"/>
    <col min="8182" max="8182" width="8.33203125" style="4" bestFit="1" customWidth="1"/>
    <col min="8183" max="8183" width="0.6640625" style="4" customWidth="1"/>
    <col min="8184" max="8184" width="13.6640625" style="4" bestFit="1" customWidth="1"/>
    <col min="8185" max="8185" width="8.5" style="4" bestFit="1" customWidth="1"/>
    <col min="8186" max="8186" width="8.33203125" style="4" bestFit="1" customWidth="1"/>
    <col min="8187" max="8187" width="0.83203125" style="4" customWidth="1"/>
    <col min="8188" max="8188" width="13.6640625" style="4" bestFit="1" customWidth="1"/>
    <col min="8189" max="8189" width="8.5" style="4" bestFit="1" customWidth="1"/>
    <col min="8190" max="8190" width="8.33203125" style="4" bestFit="1" customWidth="1"/>
    <col min="8191" max="8191" width="0.6640625" style="4" customWidth="1"/>
    <col min="8192" max="8192" width="13.6640625" style="4" bestFit="1" customWidth="1"/>
    <col min="8193" max="8193" width="8.5" style="4" bestFit="1" customWidth="1"/>
    <col min="8194" max="8194" width="8.33203125" style="4" bestFit="1" customWidth="1"/>
    <col min="8195" max="8195" width="0.5" style="4" customWidth="1"/>
    <col min="8196" max="8196" width="13.6640625" style="4" bestFit="1" customWidth="1"/>
    <col min="8197" max="8197" width="8.5" style="4" bestFit="1" customWidth="1"/>
    <col min="8198" max="8198" width="8.33203125" style="4" bestFit="1" customWidth="1"/>
    <col min="8199" max="8434" width="8.83203125" style="4"/>
    <col min="8435" max="8435" width="20.5" style="4" bestFit="1" customWidth="1"/>
    <col min="8436" max="8436" width="13.6640625" style="4" bestFit="1" customWidth="1"/>
    <col min="8437" max="8437" width="8.5" style="4" bestFit="1" customWidth="1"/>
    <col min="8438" max="8438" width="8.33203125" style="4" bestFit="1" customWidth="1"/>
    <col min="8439" max="8439" width="0.6640625" style="4" customWidth="1"/>
    <col min="8440" max="8440" width="13.6640625" style="4" bestFit="1" customWidth="1"/>
    <col min="8441" max="8441" width="8.5" style="4" bestFit="1" customWidth="1"/>
    <col min="8442" max="8442" width="8.33203125" style="4" bestFit="1" customWidth="1"/>
    <col min="8443" max="8443" width="0.83203125" style="4" customWidth="1"/>
    <col min="8444" max="8444" width="13.6640625" style="4" bestFit="1" customWidth="1"/>
    <col min="8445" max="8445" width="8.5" style="4" bestFit="1" customWidth="1"/>
    <col min="8446" max="8446" width="8.33203125" style="4" bestFit="1" customWidth="1"/>
    <col min="8447" max="8447" width="0.6640625" style="4" customWidth="1"/>
    <col min="8448" max="8448" width="13.6640625" style="4" bestFit="1" customWidth="1"/>
    <col min="8449" max="8449" width="8.5" style="4" bestFit="1" customWidth="1"/>
    <col min="8450" max="8450" width="8.33203125" style="4" bestFit="1" customWidth="1"/>
    <col min="8451" max="8451" width="0.5" style="4" customWidth="1"/>
    <col min="8452" max="8452" width="13.6640625" style="4" bestFit="1" customWidth="1"/>
    <col min="8453" max="8453" width="8.5" style="4" bestFit="1" customWidth="1"/>
    <col min="8454" max="8454" width="8.33203125" style="4" bestFit="1" customWidth="1"/>
    <col min="8455" max="8690" width="8.83203125" style="4"/>
    <col min="8691" max="8691" width="20.5" style="4" bestFit="1" customWidth="1"/>
    <col min="8692" max="8692" width="13.6640625" style="4" bestFit="1" customWidth="1"/>
    <col min="8693" max="8693" width="8.5" style="4" bestFit="1" customWidth="1"/>
    <col min="8694" max="8694" width="8.33203125" style="4" bestFit="1" customWidth="1"/>
    <col min="8695" max="8695" width="0.6640625" style="4" customWidth="1"/>
    <col min="8696" max="8696" width="13.6640625" style="4" bestFit="1" customWidth="1"/>
    <col min="8697" max="8697" width="8.5" style="4" bestFit="1" customWidth="1"/>
    <col min="8698" max="8698" width="8.33203125" style="4" bestFit="1" customWidth="1"/>
    <col min="8699" max="8699" width="0.83203125" style="4" customWidth="1"/>
    <col min="8700" max="8700" width="13.6640625" style="4" bestFit="1" customWidth="1"/>
    <col min="8701" max="8701" width="8.5" style="4" bestFit="1" customWidth="1"/>
    <col min="8702" max="8702" width="8.33203125" style="4" bestFit="1" customWidth="1"/>
    <col min="8703" max="8703" width="0.6640625" style="4" customWidth="1"/>
    <col min="8704" max="8704" width="13.6640625" style="4" bestFit="1" customWidth="1"/>
    <col min="8705" max="8705" width="8.5" style="4" bestFit="1" customWidth="1"/>
    <col min="8706" max="8706" width="8.33203125" style="4" bestFit="1" customWidth="1"/>
    <col min="8707" max="8707" width="0.5" style="4" customWidth="1"/>
    <col min="8708" max="8708" width="13.6640625" style="4" bestFit="1" customWidth="1"/>
    <col min="8709" max="8709" width="8.5" style="4" bestFit="1" customWidth="1"/>
    <col min="8710" max="8710" width="8.33203125" style="4" bestFit="1" customWidth="1"/>
    <col min="8711" max="8946" width="8.83203125" style="4"/>
    <col min="8947" max="8947" width="20.5" style="4" bestFit="1" customWidth="1"/>
    <col min="8948" max="8948" width="13.6640625" style="4" bestFit="1" customWidth="1"/>
    <col min="8949" max="8949" width="8.5" style="4" bestFit="1" customWidth="1"/>
    <col min="8950" max="8950" width="8.33203125" style="4" bestFit="1" customWidth="1"/>
    <col min="8951" max="8951" width="0.6640625" style="4" customWidth="1"/>
    <col min="8952" max="8952" width="13.6640625" style="4" bestFit="1" customWidth="1"/>
    <col min="8953" max="8953" width="8.5" style="4" bestFit="1" customWidth="1"/>
    <col min="8954" max="8954" width="8.33203125" style="4" bestFit="1" customWidth="1"/>
    <col min="8955" max="8955" width="0.83203125" style="4" customWidth="1"/>
    <col min="8956" max="8956" width="13.6640625" style="4" bestFit="1" customWidth="1"/>
    <col min="8957" max="8957" width="8.5" style="4" bestFit="1" customWidth="1"/>
    <col min="8958" max="8958" width="8.33203125" style="4" bestFit="1" customWidth="1"/>
    <col min="8959" max="8959" width="0.6640625" style="4" customWidth="1"/>
    <col min="8960" max="8960" width="13.6640625" style="4" bestFit="1" customWidth="1"/>
    <col min="8961" max="8961" width="8.5" style="4" bestFit="1" customWidth="1"/>
    <col min="8962" max="8962" width="8.33203125" style="4" bestFit="1" customWidth="1"/>
    <col min="8963" max="8963" width="0.5" style="4" customWidth="1"/>
    <col min="8964" max="8964" width="13.6640625" style="4" bestFit="1" customWidth="1"/>
    <col min="8965" max="8965" width="8.5" style="4" bestFit="1" customWidth="1"/>
    <col min="8966" max="8966" width="8.33203125" style="4" bestFit="1" customWidth="1"/>
    <col min="8967" max="9202" width="8.83203125" style="4"/>
    <col min="9203" max="9203" width="20.5" style="4" bestFit="1" customWidth="1"/>
    <col min="9204" max="9204" width="13.6640625" style="4" bestFit="1" customWidth="1"/>
    <col min="9205" max="9205" width="8.5" style="4" bestFit="1" customWidth="1"/>
    <col min="9206" max="9206" width="8.33203125" style="4" bestFit="1" customWidth="1"/>
    <col min="9207" max="9207" width="0.6640625" style="4" customWidth="1"/>
    <col min="9208" max="9208" width="13.6640625" style="4" bestFit="1" customWidth="1"/>
    <col min="9209" max="9209" width="8.5" style="4" bestFit="1" customWidth="1"/>
    <col min="9210" max="9210" width="8.33203125" style="4" bestFit="1" customWidth="1"/>
    <col min="9211" max="9211" width="0.83203125" style="4" customWidth="1"/>
    <col min="9212" max="9212" width="13.6640625" style="4" bestFit="1" customWidth="1"/>
    <col min="9213" max="9213" width="8.5" style="4" bestFit="1" customWidth="1"/>
    <col min="9214" max="9214" width="8.33203125" style="4" bestFit="1" customWidth="1"/>
    <col min="9215" max="9215" width="0.6640625" style="4" customWidth="1"/>
    <col min="9216" max="9216" width="13.6640625" style="4" bestFit="1" customWidth="1"/>
    <col min="9217" max="9217" width="8.5" style="4" bestFit="1" customWidth="1"/>
    <col min="9218" max="9218" width="8.33203125" style="4" bestFit="1" customWidth="1"/>
    <col min="9219" max="9219" width="0.5" style="4" customWidth="1"/>
    <col min="9220" max="9220" width="13.6640625" style="4" bestFit="1" customWidth="1"/>
    <col min="9221" max="9221" width="8.5" style="4" bestFit="1" customWidth="1"/>
    <col min="9222" max="9222" width="8.33203125" style="4" bestFit="1" customWidth="1"/>
    <col min="9223" max="9458" width="8.83203125" style="4"/>
    <col min="9459" max="9459" width="20.5" style="4" bestFit="1" customWidth="1"/>
    <col min="9460" max="9460" width="13.6640625" style="4" bestFit="1" customWidth="1"/>
    <col min="9461" max="9461" width="8.5" style="4" bestFit="1" customWidth="1"/>
    <col min="9462" max="9462" width="8.33203125" style="4" bestFit="1" customWidth="1"/>
    <col min="9463" max="9463" width="0.6640625" style="4" customWidth="1"/>
    <col min="9464" max="9464" width="13.6640625" style="4" bestFit="1" customWidth="1"/>
    <col min="9465" max="9465" width="8.5" style="4" bestFit="1" customWidth="1"/>
    <col min="9466" max="9466" width="8.33203125" style="4" bestFit="1" customWidth="1"/>
    <col min="9467" max="9467" width="0.83203125" style="4" customWidth="1"/>
    <col min="9468" max="9468" width="13.6640625" style="4" bestFit="1" customWidth="1"/>
    <col min="9469" max="9469" width="8.5" style="4" bestFit="1" customWidth="1"/>
    <col min="9470" max="9470" width="8.33203125" style="4" bestFit="1" customWidth="1"/>
    <col min="9471" max="9471" width="0.6640625" style="4" customWidth="1"/>
    <col min="9472" max="9472" width="13.6640625" style="4" bestFit="1" customWidth="1"/>
    <col min="9473" max="9473" width="8.5" style="4" bestFit="1" customWidth="1"/>
    <col min="9474" max="9474" width="8.33203125" style="4" bestFit="1" customWidth="1"/>
    <col min="9475" max="9475" width="0.5" style="4" customWidth="1"/>
    <col min="9476" max="9476" width="13.6640625" style="4" bestFit="1" customWidth="1"/>
    <col min="9477" max="9477" width="8.5" style="4" bestFit="1" customWidth="1"/>
    <col min="9478" max="9478" width="8.33203125" style="4" bestFit="1" customWidth="1"/>
    <col min="9479" max="9714" width="8.83203125" style="4"/>
    <col min="9715" max="9715" width="20.5" style="4" bestFit="1" customWidth="1"/>
    <col min="9716" max="9716" width="13.6640625" style="4" bestFit="1" customWidth="1"/>
    <col min="9717" max="9717" width="8.5" style="4" bestFit="1" customWidth="1"/>
    <col min="9718" max="9718" width="8.33203125" style="4" bestFit="1" customWidth="1"/>
    <col min="9719" max="9719" width="0.6640625" style="4" customWidth="1"/>
    <col min="9720" max="9720" width="13.6640625" style="4" bestFit="1" customWidth="1"/>
    <col min="9721" max="9721" width="8.5" style="4" bestFit="1" customWidth="1"/>
    <col min="9722" max="9722" width="8.33203125" style="4" bestFit="1" customWidth="1"/>
    <col min="9723" max="9723" width="0.83203125" style="4" customWidth="1"/>
    <col min="9724" max="9724" width="13.6640625" style="4" bestFit="1" customWidth="1"/>
    <col min="9725" max="9725" width="8.5" style="4" bestFit="1" customWidth="1"/>
    <col min="9726" max="9726" width="8.33203125" style="4" bestFit="1" customWidth="1"/>
    <col min="9727" max="9727" width="0.6640625" style="4" customWidth="1"/>
    <col min="9728" max="9728" width="13.6640625" style="4" bestFit="1" customWidth="1"/>
    <col min="9729" max="9729" width="8.5" style="4" bestFit="1" customWidth="1"/>
    <col min="9730" max="9730" width="8.33203125" style="4" bestFit="1" customWidth="1"/>
    <col min="9731" max="9731" width="0.5" style="4" customWidth="1"/>
    <col min="9732" max="9732" width="13.6640625" style="4" bestFit="1" customWidth="1"/>
    <col min="9733" max="9733" width="8.5" style="4" bestFit="1" customWidth="1"/>
    <col min="9734" max="9734" width="8.33203125" style="4" bestFit="1" customWidth="1"/>
    <col min="9735" max="9970" width="8.83203125" style="4"/>
    <col min="9971" max="9971" width="20.5" style="4" bestFit="1" customWidth="1"/>
    <col min="9972" max="9972" width="13.6640625" style="4" bestFit="1" customWidth="1"/>
    <col min="9973" max="9973" width="8.5" style="4" bestFit="1" customWidth="1"/>
    <col min="9974" max="9974" width="8.33203125" style="4" bestFit="1" customWidth="1"/>
    <col min="9975" max="9975" width="0.6640625" style="4" customWidth="1"/>
    <col min="9976" max="9976" width="13.6640625" style="4" bestFit="1" customWidth="1"/>
    <col min="9977" max="9977" width="8.5" style="4" bestFit="1" customWidth="1"/>
    <col min="9978" max="9978" width="8.33203125" style="4" bestFit="1" customWidth="1"/>
    <col min="9979" max="9979" width="0.83203125" style="4" customWidth="1"/>
    <col min="9980" max="9980" width="13.6640625" style="4" bestFit="1" customWidth="1"/>
    <col min="9981" max="9981" width="8.5" style="4" bestFit="1" customWidth="1"/>
    <col min="9982" max="9982" width="8.33203125" style="4" bestFit="1" customWidth="1"/>
    <col min="9983" max="9983" width="0.6640625" style="4" customWidth="1"/>
    <col min="9984" max="9984" width="13.6640625" style="4" bestFit="1" customWidth="1"/>
    <col min="9985" max="9985" width="8.5" style="4" bestFit="1" customWidth="1"/>
    <col min="9986" max="9986" width="8.33203125" style="4" bestFit="1" customWidth="1"/>
    <col min="9987" max="9987" width="0.5" style="4" customWidth="1"/>
    <col min="9988" max="9988" width="13.6640625" style="4" bestFit="1" customWidth="1"/>
    <col min="9989" max="9989" width="8.5" style="4" bestFit="1" customWidth="1"/>
    <col min="9990" max="9990" width="8.33203125" style="4" bestFit="1" customWidth="1"/>
    <col min="9991" max="10226" width="8.83203125" style="4"/>
    <col min="10227" max="10227" width="20.5" style="4" bestFit="1" customWidth="1"/>
    <col min="10228" max="10228" width="13.6640625" style="4" bestFit="1" customWidth="1"/>
    <col min="10229" max="10229" width="8.5" style="4" bestFit="1" customWidth="1"/>
    <col min="10230" max="10230" width="8.33203125" style="4" bestFit="1" customWidth="1"/>
    <col min="10231" max="10231" width="0.6640625" style="4" customWidth="1"/>
    <col min="10232" max="10232" width="13.6640625" style="4" bestFit="1" customWidth="1"/>
    <col min="10233" max="10233" width="8.5" style="4" bestFit="1" customWidth="1"/>
    <col min="10234" max="10234" width="8.33203125" style="4" bestFit="1" customWidth="1"/>
    <col min="10235" max="10235" width="0.83203125" style="4" customWidth="1"/>
    <col min="10236" max="10236" width="13.6640625" style="4" bestFit="1" customWidth="1"/>
    <col min="10237" max="10237" width="8.5" style="4" bestFit="1" customWidth="1"/>
    <col min="10238" max="10238" width="8.33203125" style="4" bestFit="1" customWidth="1"/>
    <col min="10239" max="10239" width="0.6640625" style="4" customWidth="1"/>
    <col min="10240" max="10240" width="13.6640625" style="4" bestFit="1" customWidth="1"/>
    <col min="10241" max="10241" width="8.5" style="4" bestFit="1" customWidth="1"/>
    <col min="10242" max="10242" width="8.33203125" style="4" bestFit="1" customWidth="1"/>
    <col min="10243" max="10243" width="0.5" style="4" customWidth="1"/>
    <col min="10244" max="10244" width="13.6640625" style="4" bestFit="1" customWidth="1"/>
    <col min="10245" max="10245" width="8.5" style="4" bestFit="1" customWidth="1"/>
    <col min="10246" max="10246" width="8.33203125" style="4" bestFit="1" customWidth="1"/>
    <col min="10247" max="10482" width="8.83203125" style="4"/>
    <col min="10483" max="10483" width="20.5" style="4" bestFit="1" customWidth="1"/>
    <col min="10484" max="10484" width="13.6640625" style="4" bestFit="1" customWidth="1"/>
    <col min="10485" max="10485" width="8.5" style="4" bestFit="1" customWidth="1"/>
    <col min="10486" max="10486" width="8.33203125" style="4" bestFit="1" customWidth="1"/>
    <col min="10487" max="10487" width="0.6640625" style="4" customWidth="1"/>
    <col min="10488" max="10488" width="13.6640625" style="4" bestFit="1" customWidth="1"/>
    <col min="10489" max="10489" width="8.5" style="4" bestFit="1" customWidth="1"/>
    <col min="10490" max="10490" width="8.33203125" style="4" bestFit="1" customWidth="1"/>
    <col min="10491" max="10491" width="0.83203125" style="4" customWidth="1"/>
    <col min="10492" max="10492" width="13.6640625" style="4" bestFit="1" customWidth="1"/>
    <col min="10493" max="10493" width="8.5" style="4" bestFit="1" customWidth="1"/>
    <col min="10494" max="10494" width="8.33203125" style="4" bestFit="1" customWidth="1"/>
    <col min="10495" max="10495" width="0.6640625" style="4" customWidth="1"/>
    <col min="10496" max="10496" width="13.6640625" style="4" bestFit="1" customWidth="1"/>
    <col min="10497" max="10497" width="8.5" style="4" bestFit="1" customWidth="1"/>
    <col min="10498" max="10498" width="8.33203125" style="4" bestFit="1" customWidth="1"/>
    <col min="10499" max="10499" width="0.5" style="4" customWidth="1"/>
    <col min="10500" max="10500" width="13.6640625" style="4" bestFit="1" customWidth="1"/>
    <col min="10501" max="10501" width="8.5" style="4" bestFit="1" customWidth="1"/>
    <col min="10502" max="10502" width="8.33203125" style="4" bestFit="1" customWidth="1"/>
    <col min="10503" max="10738" width="8.83203125" style="4"/>
    <col min="10739" max="10739" width="20.5" style="4" bestFit="1" customWidth="1"/>
    <col min="10740" max="10740" width="13.6640625" style="4" bestFit="1" customWidth="1"/>
    <col min="10741" max="10741" width="8.5" style="4" bestFit="1" customWidth="1"/>
    <col min="10742" max="10742" width="8.33203125" style="4" bestFit="1" customWidth="1"/>
    <col min="10743" max="10743" width="0.6640625" style="4" customWidth="1"/>
    <col min="10744" max="10744" width="13.6640625" style="4" bestFit="1" customWidth="1"/>
    <col min="10745" max="10745" width="8.5" style="4" bestFit="1" customWidth="1"/>
    <col min="10746" max="10746" width="8.33203125" style="4" bestFit="1" customWidth="1"/>
    <col min="10747" max="10747" width="0.83203125" style="4" customWidth="1"/>
    <col min="10748" max="10748" width="13.6640625" style="4" bestFit="1" customWidth="1"/>
    <col min="10749" max="10749" width="8.5" style="4" bestFit="1" customWidth="1"/>
    <col min="10750" max="10750" width="8.33203125" style="4" bestFit="1" customWidth="1"/>
    <col min="10751" max="10751" width="0.6640625" style="4" customWidth="1"/>
    <col min="10752" max="10752" width="13.6640625" style="4" bestFit="1" customWidth="1"/>
    <col min="10753" max="10753" width="8.5" style="4" bestFit="1" customWidth="1"/>
    <col min="10754" max="10754" width="8.33203125" style="4" bestFit="1" customWidth="1"/>
    <col min="10755" max="10755" width="0.5" style="4" customWidth="1"/>
    <col min="10756" max="10756" width="13.6640625" style="4" bestFit="1" customWidth="1"/>
    <col min="10757" max="10757" width="8.5" style="4" bestFit="1" customWidth="1"/>
    <col min="10758" max="10758" width="8.33203125" style="4" bestFit="1" customWidth="1"/>
    <col min="10759" max="10994" width="8.83203125" style="4"/>
    <col min="10995" max="10995" width="20.5" style="4" bestFit="1" customWidth="1"/>
    <col min="10996" max="10996" width="13.6640625" style="4" bestFit="1" customWidth="1"/>
    <col min="10997" max="10997" width="8.5" style="4" bestFit="1" customWidth="1"/>
    <col min="10998" max="10998" width="8.33203125" style="4" bestFit="1" customWidth="1"/>
    <col min="10999" max="10999" width="0.6640625" style="4" customWidth="1"/>
    <col min="11000" max="11000" width="13.6640625" style="4" bestFit="1" customWidth="1"/>
    <col min="11001" max="11001" width="8.5" style="4" bestFit="1" customWidth="1"/>
    <col min="11002" max="11002" width="8.33203125" style="4" bestFit="1" customWidth="1"/>
    <col min="11003" max="11003" width="0.83203125" style="4" customWidth="1"/>
    <col min="11004" max="11004" width="13.6640625" style="4" bestFit="1" customWidth="1"/>
    <col min="11005" max="11005" width="8.5" style="4" bestFit="1" customWidth="1"/>
    <col min="11006" max="11006" width="8.33203125" style="4" bestFit="1" customWidth="1"/>
    <col min="11007" max="11007" width="0.6640625" style="4" customWidth="1"/>
    <col min="11008" max="11008" width="13.6640625" style="4" bestFit="1" customWidth="1"/>
    <col min="11009" max="11009" width="8.5" style="4" bestFit="1" customWidth="1"/>
    <col min="11010" max="11010" width="8.33203125" style="4" bestFit="1" customWidth="1"/>
    <col min="11011" max="11011" width="0.5" style="4" customWidth="1"/>
    <col min="11012" max="11012" width="13.6640625" style="4" bestFit="1" customWidth="1"/>
    <col min="11013" max="11013" width="8.5" style="4" bestFit="1" customWidth="1"/>
    <col min="11014" max="11014" width="8.33203125" style="4" bestFit="1" customWidth="1"/>
    <col min="11015" max="11250" width="8.83203125" style="4"/>
    <col min="11251" max="11251" width="20.5" style="4" bestFit="1" customWidth="1"/>
    <col min="11252" max="11252" width="13.6640625" style="4" bestFit="1" customWidth="1"/>
    <col min="11253" max="11253" width="8.5" style="4" bestFit="1" customWidth="1"/>
    <col min="11254" max="11254" width="8.33203125" style="4" bestFit="1" customWidth="1"/>
    <col min="11255" max="11255" width="0.6640625" style="4" customWidth="1"/>
    <col min="11256" max="11256" width="13.6640625" style="4" bestFit="1" customWidth="1"/>
    <col min="11257" max="11257" width="8.5" style="4" bestFit="1" customWidth="1"/>
    <col min="11258" max="11258" width="8.33203125" style="4" bestFit="1" customWidth="1"/>
    <col min="11259" max="11259" width="0.83203125" style="4" customWidth="1"/>
    <col min="11260" max="11260" width="13.6640625" style="4" bestFit="1" customWidth="1"/>
    <col min="11261" max="11261" width="8.5" style="4" bestFit="1" customWidth="1"/>
    <col min="11262" max="11262" width="8.33203125" style="4" bestFit="1" customWidth="1"/>
    <col min="11263" max="11263" width="0.6640625" style="4" customWidth="1"/>
    <col min="11264" max="11264" width="13.6640625" style="4" bestFit="1" customWidth="1"/>
    <col min="11265" max="11265" width="8.5" style="4" bestFit="1" customWidth="1"/>
    <col min="11266" max="11266" width="8.33203125" style="4" bestFit="1" customWidth="1"/>
    <col min="11267" max="11267" width="0.5" style="4" customWidth="1"/>
    <col min="11268" max="11268" width="13.6640625" style="4" bestFit="1" customWidth="1"/>
    <col min="11269" max="11269" width="8.5" style="4" bestFit="1" customWidth="1"/>
    <col min="11270" max="11270" width="8.33203125" style="4" bestFit="1" customWidth="1"/>
    <col min="11271" max="11506" width="8.83203125" style="4"/>
    <col min="11507" max="11507" width="20.5" style="4" bestFit="1" customWidth="1"/>
    <col min="11508" max="11508" width="13.6640625" style="4" bestFit="1" customWidth="1"/>
    <col min="11509" max="11509" width="8.5" style="4" bestFit="1" customWidth="1"/>
    <col min="11510" max="11510" width="8.33203125" style="4" bestFit="1" customWidth="1"/>
    <col min="11511" max="11511" width="0.6640625" style="4" customWidth="1"/>
    <col min="11512" max="11512" width="13.6640625" style="4" bestFit="1" customWidth="1"/>
    <col min="11513" max="11513" width="8.5" style="4" bestFit="1" customWidth="1"/>
    <col min="11514" max="11514" width="8.33203125" style="4" bestFit="1" customWidth="1"/>
    <col min="11515" max="11515" width="0.83203125" style="4" customWidth="1"/>
    <col min="11516" max="11516" width="13.6640625" style="4" bestFit="1" customWidth="1"/>
    <col min="11517" max="11517" width="8.5" style="4" bestFit="1" customWidth="1"/>
    <col min="11518" max="11518" width="8.33203125" style="4" bestFit="1" customWidth="1"/>
    <col min="11519" max="11519" width="0.6640625" style="4" customWidth="1"/>
    <col min="11520" max="11520" width="13.6640625" style="4" bestFit="1" customWidth="1"/>
    <col min="11521" max="11521" width="8.5" style="4" bestFit="1" customWidth="1"/>
    <col min="11522" max="11522" width="8.33203125" style="4" bestFit="1" customWidth="1"/>
    <col min="11523" max="11523" width="0.5" style="4" customWidth="1"/>
    <col min="11524" max="11524" width="13.6640625" style="4" bestFit="1" customWidth="1"/>
    <col min="11525" max="11525" width="8.5" style="4" bestFit="1" customWidth="1"/>
    <col min="11526" max="11526" width="8.33203125" style="4" bestFit="1" customWidth="1"/>
    <col min="11527" max="11762" width="8.83203125" style="4"/>
    <col min="11763" max="11763" width="20.5" style="4" bestFit="1" customWidth="1"/>
    <col min="11764" max="11764" width="13.6640625" style="4" bestFit="1" customWidth="1"/>
    <col min="11765" max="11765" width="8.5" style="4" bestFit="1" customWidth="1"/>
    <col min="11766" max="11766" width="8.33203125" style="4" bestFit="1" customWidth="1"/>
    <col min="11767" max="11767" width="0.6640625" style="4" customWidth="1"/>
    <col min="11768" max="11768" width="13.6640625" style="4" bestFit="1" customWidth="1"/>
    <col min="11769" max="11769" width="8.5" style="4" bestFit="1" customWidth="1"/>
    <col min="11770" max="11770" width="8.33203125" style="4" bestFit="1" customWidth="1"/>
    <col min="11771" max="11771" width="0.83203125" style="4" customWidth="1"/>
    <col min="11772" max="11772" width="13.6640625" style="4" bestFit="1" customWidth="1"/>
    <col min="11773" max="11773" width="8.5" style="4" bestFit="1" customWidth="1"/>
    <col min="11774" max="11774" width="8.33203125" style="4" bestFit="1" customWidth="1"/>
    <col min="11775" max="11775" width="0.6640625" style="4" customWidth="1"/>
    <col min="11776" max="11776" width="13.6640625" style="4" bestFit="1" customWidth="1"/>
    <col min="11777" max="11777" width="8.5" style="4" bestFit="1" customWidth="1"/>
    <col min="11778" max="11778" width="8.33203125" style="4" bestFit="1" customWidth="1"/>
    <col min="11779" max="11779" width="0.5" style="4" customWidth="1"/>
    <col min="11780" max="11780" width="13.6640625" style="4" bestFit="1" customWidth="1"/>
    <col min="11781" max="11781" width="8.5" style="4" bestFit="1" customWidth="1"/>
    <col min="11782" max="11782" width="8.33203125" style="4" bestFit="1" customWidth="1"/>
    <col min="11783" max="12018" width="8.83203125" style="4"/>
    <col min="12019" max="12019" width="20.5" style="4" bestFit="1" customWidth="1"/>
    <col min="12020" max="12020" width="13.6640625" style="4" bestFit="1" customWidth="1"/>
    <col min="12021" max="12021" width="8.5" style="4" bestFit="1" customWidth="1"/>
    <col min="12022" max="12022" width="8.33203125" style="4" bestFit="1" customWidth="1"/>
    <col min="12023" max="12023" width="0.6640625" style="4" customWidth="1"/>
    <col min="12024" max="12024" width="13.6640625" style="4" bestFit="1" customWidth="1"/>
    <col min="12025" max="12025" width="8.5" style="4" bestFit="1" customWidth="1"/>
    <col min="12026" max="12026" width="8.33203125" style="4" bestFit="1" customWidth="1"/>
    <col min="12027" max="12027" width="0.83203125" style="4" customWidth="1"/>
    <col min="12028" max="12028" width="13.6640625" style="4" bestFit="1" customWidth="1"/>
    <col min="12029" max="12029" width="8.5" style="4" bestFit="1" customWidth="1"/>
    <col min="12030" max="12030" width="8.33203125" style="4" bestFit="1" customWidth="1"/>
    <col min="12031" max="12031" width="0.6640625" style="4" customWidth="1"/>
    <col min="12032" max="12032" width="13.6640625" style="4" bestFit="1" customWidth="1"/>
    <col min="12033" max="12033" width="8.5" style="4" bestFit="1" customWidth="1"/>
    <col min="12034" max="12034" width="8.33203125" style="4" bestFit="1" customWidth="1"/>
    <col min="12035" max="12035" width="0.5" style="4" customWidth="1"/>
    <col min="12036" max="12036" width="13.6640625" style="4" bestFit="1" customWidth="1"/>
    <col min="12037" max="12037" width="8.5" style="4" bestFit="1" customWidth="1"/>
    <col min="12038" max="12038" width="8.33203125" style="4" bestFit="1" customWidth="1"/>
    <col min="12039" max="12274" width="8.83203125" style="4"/>
    <col min="12275" max="12275" width="20.5" style="4" bestFit="1" customWidth="1"/>
    <col min="12276" max="12276" width="13.6640625" style="4" bestFit="1" customWidth="1"/>
    <col min="12277" max="12277" width="8.5" style="4" bestFit="1" customWidth="1"/>
    <col min="12278" max="12278" width="8.33203125" style="4" bestFit="1" customWidth="1"/>
    <col min="12279" max="12279" width="0.6640625" style="4" customWidth="1"/>
    <col min="12280" max="12280" width="13.6640625" style="4" bestFit="1" customWidth="1"/>
    <col min="12281" max="12281" width="8.5" style="4" bestFit="1" customWidth="1"/>
    <col min="12282" max="12282" width="8.33203125" style="4" bestFit="1" customWidth="1"/>
    <col min="12283" max="12283" width="0.83203125" style="4" customWidth="1"/>
    <col min="12284" max="12284" width="13.6640625" style="4" bestFit="1" customWidth="1"/>
    <col min="12285" max="12285" width="8.5" style="4" bestFit="1" customWidth="1"/>
    <col min="12286" max="12286" width="8.33203125" style="4" bestFit="1" customWidth="1"/>
    <col min="12287" max="12287" width="0.6640625" style="4" customWidth="1"/>
    <col min="12288" max="12288" width="13.6640625" style="4" bestFit="1" customWidth="1"/>
    <col min="12289" max="12289" width="8.5" style="4" bestFit="1" customWidth="1"/>
    <col min="12290" max="12290" width="8.33203125" style="4" bestFit="1" customWidth="1"/>
    <col min="12291" max="12291" width="0.5" style="4" customWidth="1"/>
    <col min="12292" max="12292" width="13.6640625" style="4" bestFit="1" customWidth="1"/>
    <col min="12293" max="12293" width="8.5" style="4" bestFit="1" customWidth="1"/>
    <col min="12294" max="12294" width="8.33203125" style="4" bestFit="1" customWidth="1"/>
    <col min="12295" max="12530" width="8.83203125" style="4"/>
    <col min="12531" max="12531" width="20.5" style="4" bestFit="1" customWidth="1"/>
    <col min="12532" max="12532" width="13.6640625" style="4" bestFit="1" customWidth="1"/>
    <col min="12533" max="12533" width="8.5" style="4" bestFit="1" customWidth="1"/>
    <col min="12534" max="12534" width="8.33203125" style="4" bestFit="1" customWidth="1"/>
    <col min="12535" max="12535" width="0.6640625" style="4" customWidth="1"/>
    <col min="12536" max="12536" width="13.6640625" style="4" bestFit="1" customWidth="1"/>
    <col min="12537" max="12537" width="8.5" style="4" bestFit="1" customWidth="1"/>
    <col min="12538" max="12538" width="8.33203125" style="4" bestFit="1" customWidth="1"/>
    <col min="12539" max="12539" width="0.83203125" style="4" customWidth="1"/>
    <col min="12540" max="12540" width="13.6640625" style="4" bestFit="1" customWidth="1"/>
    <col min="12541" max="12541" width="8.5" style="4" bestFit="1" customWidth="1"/>
    <col min="12542" max="12542" width="8.33203125" style="4" bestFit="1" customWidth="1"/>
    <col min="12543" max="12543" width="0.6640625" style="4" customWidth="1"/>
    <col min="12544" max="12544" width="13.6640625" style="4" bestFit="1" customWidth="1"/>
    <col min="12545" max="12545" width="8.5" style="4" bestFit="1" customWidth="1"/>
    <col min="12546" max="12546" width="8.33203125" style="4" bestFit="1" customWidth="1"/>
    <col min="12547" max="12547" width="0.5" style="4" customWidth="1"/>
    <col min="12548" max="12548" width="13.6640625" style="4" bestFit="1" customWidth="1"/>
    <col min="12549" max="12549" width="8.5" style="4" bestFit="1" customWidth="1"/>
    <col min="12550" max="12550" width="8.33203125" style="4" bestFit="1" customWidth="1"/>
    <col min="12551" max="12786" width="8.83203125" style="4"/>
    <col min="12787" max="12787" width="20.5" style="4" bestFit="1" customWidth="1"/>
    <col min="12788" max="12788" width="13.6640625" style="4" bestFit="1" customWidth="1"/>
    <col min="12789" max="12789" width="8.5" style="4" bestFit="1" customWidth="1"/>
    <col min="12790" max="12790" width="8.33203125" style="4" bestFit="1" customWidth="1"/>
    <col min="12791" max="12791" width="0.6640625" style="4" customWidth="1"/>
    <col min="12792" max="12792" width="13.6640625" style="4" bestFit="1" customWidth="1"/>
    <col min="12793" max="12793" width="8.5" style="4" bestFit="1" customWidth="1"/>
    <col min="12794" max="12794" width="8.33203125" style="4" bestFit="1" customWidth="1"/>
    <col min="12795" max="12795" width="0.83203125" style="4" customWidth="1"/>
    <col min="12796" max="12796" width="13.6640625" style="4" bestFit="1" customWidth="1"/>
    <col min="12797" max="12797" width="8.5" style="4" bestFit="1" customWidth="1"/>
    <col min="12798" max="12798" width="8.33203125" style="4" bestFit="1" customWidth="1"/>
    <col min="12799" max="12799" width="0.6640625" style="4" customWidth="1"/>
    <col min="12800" max="12800" width="13.6640625" style="4" bestFit="1" customWidth="1"/>
    <col min="12801" max="12801" width="8.5" style="4" bestFit="1" customWidth="1"/>
    <col min="12802" max="12802" width="8.33203125" style="4" bestFit="1" customWidth="1"/>
    <col min="12803" max="12803" width="0.5" style="4" customWidth="1"/>
    <col min="12804" max="12804" width="13.6640625" style="4" bestFit="1" customWidth="1"/>
    <col min="12805" max="12805" width="8.5" style="4" bestFit="1" customWidth="1"/>
    <col min="12806" max="12806" width="8.33203125" style="4" bestFit="1" customWidth="1"/>
    <col min="12807" max="13042" width="8.83203125" style="4"/>
    <col min="13043" max="13043" width="20.5" style="4" bestFit="1" customWidth="1"/>
    <col min="13044" max="13044" width="13.6640625" style="4" bestFit="1" customWidth="1"/>
    <col min="13045" max="13045" width="8.5" style="4" bestFit="1" customWidth="1"/>
    <col min="13046" max="13046" width="8.33203125" style="4" bestFit="1" customWidth="1"/>
    <col min="13047" max="13047" width="0.6640625" style="4" customWidth="1"/>
    <col min="13048" max="13048" width="13.6640625" style="4" bestFit="1" customWidth="1"/>
    <col min="13049" max="13049" width="8.5" style="4" bestFit="1" customWidth="1"/>
    <col min="13050" max="13050" width="8.33203125" style="4" bestFit="1" customWidth="1"/>
    <col min="13051" max="13051" width="0.83203125" style="4" customWidth="1"/>
    <col min="13052" max="13052" width="13.6640625" style="4" bestFit="1" customWidth="1"/>
    <col min="13053" max="13053" width="8.5" style="4" bestFit="1" customWidth="1"/>
    <col min="13054" max="13054" width="8.33203125" style="4" bestFit="1" customWidth="1"/>
    <col min="13055" max="13055" width="0.6640625" style="4" customWidth="1"/>
    <col min="13056" max="13056" width="13.6640625" style="4" bestFit="1" customWidth="1"/>
    <col min="13057" max="13057" width="8.5" style="4" bestFit="1" customWidth="1"/>
    <col min="13058" max="13058" width="8.33203125" style="4" bestFit="1" customWidth="1"/>
    <col min="13059" max="13059" width="0.5" style="4" customWidth="1"/>
    <col min="13060" max="13060" width="13.6640625" style="4" bestFit="1" customWidth="1"/>
    <col min="13061" max="13061" width="8.5" style="4" bestFit="1" customWidth="1"/>
    <col min="13062" max="13062" width="8.33203125" style="4" bestFit="1" customWidth="1"/>
    <col min="13063" max="13298" width="8.83203125" style="4"/>
    <col min="13299" max="13299" width="20.5" style="4" bestFit="1" customWidth="1"/>
    <col min="13300" max="13300" width="13.6640625" style="4" bestFit="1" customWidth="1"/>
    <col min="13301" max="13301" width="8.5" style="4" bestFit="1" customWidth="1"/>
    <col min="13302" max="13302" width="8.33203125" style="4" bestFit="1" customWidth="1"/>
    <col min="13303" max="13303" width="0.6640625" style="4" customWidth="1"/>
    <col min="13304" max="13304" width="13.6640625" style="4" bestFit="1" customWidth="1"/>
    <col min="13305" max="13305" width="8.5" style="4" bestFit="1" customWidth="1"/>
    <col min="13306" max="13306" width="8.33203125" style="4" bestFit="1" customWidth="1"/>
    <col min="13307" max="13307" width="0.83203125" style="4" customWidth="1"/>
    <col min="13308" max="13308" width="13.6640625" style="4" bestFit="1" customWidth="1"/>
    <col min="13309" max="13309" width="8.5" style="4" bestFit="1" customWidth="1"/>
    <col min="13310" max="13310" width="8.33203125" style="4" bestFit="1" customWidth="1"/>
    <col min="13311" max="13311" width="0.6640625" style="4" customWidth="1"/>
    <col min="13312" max="13312" width="13.6640625" style="4" bestFit="1" customWidth="1"/>
    <col min="13313" max="13313" width="8.5" style="4" bestFit="1" customWidth="1"/>
    <col min="13314" max="13314" width="8.33203125" style="4" bestFit="1" customWidth="1"/>
    <col min="13315" max="13315" width="0.5" style="4" customWidth="1"/>
    <col min="13316" max="13316" width="13.6640625" style="4" bestFit="1" customWidth="1"/>
    <col min="13317" max="13317" width="8.5" style="4" bestFit="1" customWidth="1"/>
    <col min="13318" max="13318" width="8.33203125" style="4" bestFit="1" customWidth="1"/>
    <col min="13319" max="13554" width="8.83203125" style="4"/>
    <col min="13555" max="13555" width="20.5" style="4" bestFit="1" customWidth="1"/>
    <col min="13556" max="13556" width="13.6640625" style="4" bestFit="1" customWidth="1"/>
    <col min="13557" max="13557" width="8.5" style="4" bestFit="1" customWidth="1"/>
    <col min="13558" max="13558" width="8.33203125" style="4" bestFit="1" customWidth="1"/>
    <col min="13559" max="13559" width="0.6640625" style="4" customWidth="1"/>
    <col min="13560" max="13560" width="13.6640625" style="4" bestFit="1" customWidth="1"/>
    <col min="13561" max="13561" width="8.5" style="4" bestFit="1" customWidth="1"/>
    <col min="13562" max="13562" width="8.33203125" style="4" bestFit="1" customWidth="1"/>
    <col min="13563" max="13563" width="0.83203125" style="4" customWidth="1"/>
    <col min="13564" max="13564" width="13.6640625" style="4" bestFit="1" customWidth="1"/>
    <col min="13565" max="13565" width="8.5" style="4" bestFit="1" customWidth="1"/>
    <col min="13566" max="13566" width="8.33203125" style="4" bestFit="1" customWidth="1"/>
    <col min="13567" max="13567" width="0.6640625" style="4" customWidth="1"/>
    <col min="13568" max="13568" width="13.6640625" style="4" bestFit="1" customWidth="1"/>
    <col min="13569" max="13569" width="8.5" style="4" bestFit="1" customWidth="1"/>
    <col min="13570" max="13570" width="8.33203125" style="4" bestFit="1" customWidth="1"/>
    <col min="13571" max="13571" width="0.5" style="4" customWidth="1"/>
    <col min="13572" max="13572" width="13.6640625" style="4" bestFit="1" customWidth="1"/>
    <col min="13573" max="13573" width="8.5" style="4" bestFit="1" customWidth="1"/>
    <col min="13574" max="13574" width="8.33203125" style="4" bestFit="1" customWidth="1"/>
    <col min="13575" max="13810" width="8.83203125" style="4"/>
    <col min="13811" max="13811" width="20.5" style="4" bestFit="1" customWidth="1"/>
    <col min="13812" max="13812" width="13.6640625" style="4" bestFit="1" customWidth="1"/>
    <col min="13813" max="13813" width="8.5" style="4" bestFit="1" customWidth="1"/>
    <col min="13814" max="13814" width="8.33203125" style="4" bestFit="1" customWidth="1"/>
    <col min="13815" max="13815" width="0.6640625" style="4" customWidth="1"/>
    <col min="13816" max="13816" width="13.6640625" style="4" bestFit="1" customWidth="1"/>
    <col min="13817" max="13817" width="8.5" style="4" bestFit="1" customWidth="1"/>
    <col min="13818" max="13818" width="8.33203125" style="4" bestFit="1" customWidth="1"/>
    <col min="13819" max="13819" width="0.83203125" style="4" customWidth="1"/>
    <col min="13820" max="13820" width="13.6640625" style="4" bestFit="1" customWidth="1"/>
    <col min="13821" max="13821" width="8.5" style="4" bestFit="1" customWidth="1"/>
    <col min="13822" max="13822" width="8.33203125" style="4" bestFit="1" customWidth="1"/>
    <col min="13823" max="13823" width="0.6640625" style="4" customWidth="1"/>
    <col min="13824" max="13824" width="13.6640625" style="4" bestFit="1" customWidth="1"/>
    <col min="13825" max="13825" width="8.5" style="4" bestFit="1" customWidth="1"/>
    <col min="13826" max="13826" width="8.33203125" style="4" bestFit="1" customWidth="1"/>
    <col min="13827" max="13827" width="0.5" style="4" customWidth="1"/>
    <col min="13828" max="13828" width="13.6640625" style="4" bestFit="1" customWidth="1"/>
    <col min="13829" max="13829" width="8.5" style="4" bestFit="1" customWidth="1"/>
    <col min="13830" max="13830" width="8.33203125" style="4" bestFit="1" customWidth="1"/>
    <col min="13831" max="14066" width="8.83203125" style="4"/>
    <col min="14067" max="14067" width="20.5" style="4" bestFit="1" customWidth="1"/>
    <col min="14068" max="14068" width="13.6640625" style="4" bestFit="1" customWidth="1"/>
    <col min="14069" max="14069" width="8.5" style="4" bestFit="1" customWidth="1"/>
    <col min="14070" max="14070" width="8.33203125" style="4" bestFit="1" customWidth="1"/>
    <col min="14071" max="14071" width="0.6640625" style="4" customWidth="1"/>
    <col min="14072" max="14072" width="13.6640625" style="4" bestFit="1" customWidth="1"/>
    <col min="14073" max="14073" width="8.5" style="4" bestFit="1" customWidth="1"/>
    <col min="14074" max="14074" width="8.33203125" style="4" bestFit="1" customWidth="1"/>
    <col min="14075" max="14075" width="0.83203125" style="4" customWidth="1"/>
    <col min="14076" max="14076" width="13.6640625" style="4" bestFit="1" customWidth="1"/>
    <col min="14077" max="14077" width="8.5" style="4" bestFit="1" customWidth="1"/>
    <col min="14078" max="14078" width="8.33203125" style="4" bestFit="1" customWidth="1"/>
    <col min="14079" max="14079" width="0.6640625" style="4" customWidth="1"/>
    <col min="14080" max="14080" width="13.6640625" style="4" bestFit="1" customWidth="1"/>
    <col min="14081" max="14081" width="8.5" style="4" bestFit="1" customWidth="1"/>
    <col min="14082" max="14082" width="8.33203125" style="4" bestFit="1" customWidth="1"/>
    <col min="14083" max="14083" width="0.5" style="4" customWidth="1"/>
    <col min="14084" max="14084" width="13.6640625" style="4" bestFit="1" customWidth="1"/>
    <col min="14085" max="14085" width="8.5" style="4" bestFit="1" customWidth="1"/>
    <col min="14086" max="14086" width="8.33203125" style="4" bestFit="1" customWidth="1"/>
    <col min="14087" max="14322" width="8.83203125" style="4"/>
    <col min="14323" max="14323" width="20.5" style="4" bestFit="1" customWidth="1"/>
    <col min="14324" max="14324" width="13.6640625" style="4" bestFit="1" customWidth="1"/>
    <col min="14325" max="14325" width="8.5" style="4" bestFit="1" customWidth="1"/>
    <col min="14326" max="14326" width="8.33203125" style="4" bestFit="1" customWidth="1"/>
    <col min="14327" max="14327" width="0.6640625" style="4" customWidth="1"/>
    <col min="14328" max="14328" width="13.6640625" style="4" bestFit="1" customWidth="1"/>
    <col min="14329" max="14329" width="8.5" style="4" bestFit="1" customWidth="1"/>
    <col min="14330" max="14330" width="8.33203125" style="4" bestFit="1" customWidth="1"/>
    <col min="14331" max="14331" width="0.83203125" style="4" customWidth="1"/>
    <col min="14332" max="14332" width="13.6640625" style="4" bestFit="1" customWidth="1"/>
    <col min="14333" max="14333" width="8.5" style="4" bestFit="1" customWidth="1"/>
    <col min="14334" max="14334" width="8.33203125" style="4" bestFit="1" customWidth="1"/>
    <col min="14335" max="14335" width="0.6640625" style="4" customWidth="1"/>
    <col min="14336" max="14336" width="13.6640625" style="4" bestFit="1" customWidth="1"/>
    <col min="14337" max="14337" width="8.5" style="4" bestFit="1" customWidth="1"/>
    <col min="14338" max="14338" width="8.33203125" style="4" bestFit="1" customWidth="1"/>
    <col min="14339" max="14339" width="0.5" style="4" customWidth="1"/>
    <col min="14340" max="14340" width="13.6640625" style="4" bestFit="1" customWidth="1"/>
    <col min="14341" max="14341" width="8.5" style="4" bestFit="1" customWidth="1"/>
    <col min="14342" max="14342" width="8.33203125" style="4" bestFit="1" customWidth="1"/>
    <col min="14343" max="14578" width="8.83203125" style="4"/>
    <col min="14579" max="14579" width="20.5" style="4" bestFit="1" customWidth="1"/>
    <col min="14580" max="14580" width="13.6640625" style="4" bestFit="1" customWidth="1"/>
    <col min="14581" max="14581" width="8.5" style="4" bestFit="1" customWidth="1"/>
    <col min="14582" max="14582" width="8.33203125" style="4" bestFit="1" customWidth="1"/>
    <col min="14583" max="14583" width="0.6640625" style="4" customWidth="1"/>
    <col min="14584" max="14584" width="13.6640625" style="4" bestFit="1" customWidth="1"/>
    <col min="14585" max="14585" width="8.5" style="4" bestFit="1" customWidth="1"/>
    <col min="14586" max="14586" width="8.33203125" style="4" bestFit="1" customWidth="1"/>
    <col min="14587" max="14587" width="0.83203125" style="4" customWidth="1"/>
    <col min="14588" max="14588" width="13.6640625" style="4" bestFit="1" customWidth="1"/>
    <col min="14589" max="14589" width="8.5" style="4" bestFit="1" customWidth="1"/>
    <col min="14590" max="14590" width="8.33203125" style="4" bestFit="1" customWidth="1"/>
    <col min="14591" max="14591" width="0.6640625" style="4" customWidth="1"/>
    <col min="14592" max="14592" width="13.6640625" style="4" bestFit="1" customWidth="1"/>
    <col min="14593" max="14593" width="8.5" style="4" bestFit="1" customWidth="1"/>
    <col min="14594" max="14594" width="8.33203125" style="4" bestFit="1" customWidth="1"/>
    <col min="14595" max="14595" width="0.5" style="4" customWidth="1"/>
    <col min="14596" max="14596" width="13.6640625" style="4" bestFit="1" customWidth="1"/>
    <col min="14597" max="14597" width="8.5" style="4" bestFit="1" customWidth="1"/>
    <col min="14598" max="14598" width="8.33203125" style="4" bestFit="1" customWidth="1"/>
    <col min="14599" max="14834" width="8.83203125" style="4"/>
    <col min="14835" max="14835" width="20.5" style="4" bestFit="1" customWidth="1"/>
    <col min="14836" max="14836" width="13.6640625" style="4" bestFit="1" customWidth="1"/>
    <col min="14837" max="14837" width="8.5" style="4" bestFit="1" customWidth="1"/>
    <col min="14838" max="14838" width="8.33203125" style="4" bestFit="1" customWidth="1"/>
    <col min="14839" max="14839" width="0.6640625" style="4" customWidth="1"/>
    <col min="14840" max="14840" width="13.6640625" style="4" bestFit="1" customWidth="1"/>
    <col min="14841" max="14841" width="8.5" style="4" bestFit="1" customWidth="1"/>
    <col min="14842" max="14842" width="8.33203125" style="4" bestFit="1" customWidth="1"/>
    <col min="14843" max="14843" width="0.83203125" style="4" customWidth="1"/>
    <col min="14844" max="14844" width="13.6640625" style="4" bestFit="1" customWidth="1"/>
    <col min="14845" max="14845" width="8.5" style="4" bestFit="1" customWidth="1"/>
    <col min="14846" max="14846" width="8.33203125" style="4" bestFit="1" customWidth="1"/>
    <col min="14847" max="14847" width="0.6640625" style="4" customWidth="1"/>
    <col min="14848" max="14848" width="13.6640625" style="4" bestFit="1" customWidth="1"/>
    <col min="14849" max="14849" width="8.5" style="4" bestFit="1" customWidth="1"/>
    <col min="14850" max="14850" width="8.33203125" style="4" bestFit="1" customWidth="1"/>
    <col min="14851" max="14851" width="0.5" style="4" customWidth="1"/>
    <col min="14852" max="14852" width="13.6640625" style="4" bestFit="1" customWidth="1"/>
    <col min="14853" max="14853" width="8.5" style="4" bestFit="1" customWidth="1"/>
    <col min="14854" max="14854" width="8.33203125" style="4" bestFit="1" customWidth="1"/>
    <col min="14855" max="15090" width="8.83203125" style="4"/>
    <col min="15091" max="15091" width="20.5" style="4" bestFit="1" customWidth="1"/>
    <col min="15092" max="15092" width="13.6640625" style="4" bestFit="1" customWidth="1"/>
    <col min="15093" max="15093" width="8.5" style="4" bestFit="1" customWidth="1"/>
    <col min="15094" max="15094" width="8.33203125" style="4" bestFit="1" customWidth="1"/>
    <col min="15095" max="15095" width="0.6640625" style="4" customWidth="1"/>
    <col min="15096" max="15096" width="13.6640625" style="4" bestFit="1" customWidth="1"/>
    <col min="15097" max="15097" width="8.5" style="4" bestFit="1" customWidth="1"/>
    <col min="15098" max="15098" width="8.33203125" style="4" bestFit="1" customWidth="1"/>
    <col min="15099" max="15099" width="0.83203125" style="4" customWidth="1"/>
    <col min="15100" max="15100" width="13.6640625" style="4" bestFit="1" customWidth="1"/>
    <col min="15101" max="15101" width="8.5" style="4" bestFit="1" customWidth="1"/>
    <col min="15102" max="15102" width="8.33203125" style="4" bestFit="1" customWidth="1"/>
    <col min="15103" max="15103" width="0.6640625" style="4" customWidth="1"/>
    <col min="15104" max="15104" width="13.6640625" style="4" bestFit="1" customWidth="1"/>
    <col min="15105" max="15105" width="8.5" style="4" bestFit="1" customWidth="1"/>
    <col min="15106" max="15106" width="8.33203125" style="4" bestFit="1" customWidth="1"/>
    <col min="15107" max="15107" width="0.5" style="4" customWidth="1"/>
    <col min="15108" max="15108" width="13.6640625" style="4" bestFit="1" customWidth="1"/>
    <col min="15109" max="15109" width="8.5" style="4" bestFit="1" customWidth="1"/>
    <col min="15110" max="15110" width="8.33203125" style="4" bestFit="1" customWidth="1"/>
    <col min="15111" max="15346" width="8.83203125" style="4"/>
    <col min="15347" max="15347" width="20.5" style="4" bestFit="1" customWidth="1"/>
    <col min="15348" max="15348" width="13.6640625" style="4" bestFit="1" customWidth="1"/>
    <col min="15349" max="15349" width="8.5" style="4" bestFit="1" customWidth="1"/>
    <col min="15350" max="15350" width="8.33203125" style="4" bestFit="1" customWidth="1"/>
    <col min="15351" max="15351" width="0.6640625" style="4" customWidth="1"/>
    <col min="15352" max="15352" width="13.6640625" style="4" bestFit="1" customWidth="1"/>
    <col min="15353" max="15353" width="8.5" style="4" bestFit="1" customWidth="1"/>
    <col min="15354" max="15354" width="8.33203125" style="4" bestFit="1" customWidth="1"/>
    <col min="15355" max="15355" width="0.83203125" style="4" customWidth="1"/>
    <col min="15356" max="15356" width="13.6640625" style="4" bestFit="1" customWidth="1"/>
    <col min="15357" max="15357" width="8.5" style="4" bestFit="1" customWidth="1"/>
    <col min="15358" max="15358" width="8.33203125" style="4" bestFit="1" customWidth="1"/>
    <col min="15359" max="15359" width="0.6640625" style="4" customWidth="1"/>
    <col min="15360" max="15360" width="13.6640625" style="4" bestFit="1" customWidth="1"/>
    <col min="15361" max="15361" width="8.5" style="4" bestFit="1" customWidth="1"/>
    <col min="15362" max="15362" width="8.33203125" style="4" bestFit="1" customWidth="1"/>
    <col min="15363" max="15363" width="0.5" style="4" customWidth="1"/>
    <col min="15364" max="15364" width="13.6640625" style="4" bestFit="1" customWidth="1"/>
    <col min="15365" max="15365" width="8.5" style="4" bestFit="1" customWidth="1"/>
    <col min="15366" max="15366" width="8.33203125" style="4" bestFit="1" customWidth="1"/>
    <col min="15367" max="15602" width="8.83203125" style="4"/>
    <col min="15603" max="15603" width="20.5" style="4" bestFit="1" customWidth="1"/>
    <col min="15604" max="15604" width="13.6640625" style="4" bestFit="1" customWidth="1"/>
    <col min="15605" max="15605" width="8.5" style="4" bestFit="1" customWidth="1"/>
    <col min="15606" max="15606" width="8.33203125" style="4" bestFit="1" customWidth="1"/>
    <col min="15607" max="15607" width="0.6640625" style="4" customWidth="1"/>
    <col min="15608" max="15608" width="13.6640625" style="4" bestFit="1" customWidth="1"/>
    <col min="15609" max="15609" width="8.5" style="4" bestFit="1" customWidth="1"/>
    <col min="15610" max="15610" width="8.33203125" style="4" bestFit="1" customWidth="1"/>
    <col min="15611" max="15611" width="0.83203125" style="4" customWidth="1"/>
    <col min="15612" max="15612" width="13.6640625" style="4" bestFit="1" customWidth="1"/>
    <col min="15613" max="15613" width="8.5" style="4" bestFit="1" customWidth="1"/>
    <col min="15614" max="15614" width="8.33203125" style="4" bestFit="1" customWidth="1"/>
    <col min="15615" max="15615" width="0.6640625" style="4" customWidth="1"/>
    <col min="15616" max="15616" width="13.6640625" style="4" bestFit="1" customWidth="1"/>
    <col min="15617" max="15617" width="8.5" style="4" bestFit="1" customWidth="1"/>
    <col min="15618" max="15618" width="8.33203125" style="4" bestFit="1" customWidth="1"/>
    <col min="15619" max="15619" width="0.5" style="4" customWidth="1"/>
    <col min="15620" max="15620" width="13.6640625" style="4" bestFit="1" customWidth="1"/>
    <col min="15621" max="15621" width="8.5" style="4" bestFit="1" customWidth="1"/>
    <col min="15622" max="15622" width="8.33203125" style="4" bestFit="1" customWidth="1"/>
    <col min="15623" max="15858" width="8.83203125" style="4"/>
    <col min="15859" max="15859" width="20.5" style="4" bestFit="1" customWidth="1"/>
    <col min="15860" max="15860" width="13.6640625" style="4" bestFit="1" customWidth="1"/>
    <col min="15861" max="15861" width="8.5" style="4" bestFit="1" customWidth="1"/>
    <col min="15862" max="15862" width="8.33203125" style="4" bestFit="1" customWidth="1"/>
    <col min="15863" max="15863" width="0.6640625" style="4" customWidth="1"/>
    <col min="15864" max="15864" width="13.6640625" style="4" bestFit="1" customWidth="1"/>
    <col min="15865" max="15865" width="8.5" style="4" bestFit="1" customWidth="1"/>
    <col min="15866" max="15866" width="8.33203125" style="4" bestFit="1" customWidth="1"/>
    <col min="15867" max="15867" width="0.83203125" style="4" customWidth="1"/>
    <col min="15868" max="15868" width="13.6640625" style="4" bestFit="1" customWidth="1"/>
    <col min="15869" max="15869" width="8.5" style="4" bestFit="1" customWidth="1"/>
    <col min="15870" max="15870" width="8.33203125" style="4" bestFit="1" customWidth="1"/>
    <col min="15871" max="15871" width="0.6640625" style="4" customWidth="1"/>
    <col min="15872" max="15872" width="13.6640625" style="4" bestFit="1" customWidth="1"/>
    <col min="15873" max="15873" width="8.5" style="4" bestFit="1" customWidth="1"/>
    <col min="15874" max="15874" width="8.33203125" style="4" bestFit="1" customWidth="1"/>
    <col min="15875" max="15875" width="0.5" style="4" customWidth="1"/>
    <col min="15876" max="15876" width="13.6640625" style="4" bestFit="1" customWidth="1"/>
    <col min="15877" max="15877" width="8.5" style="4" bestFit="1" customWidth="1"/>
    <col min="15878" max="15878" width="8.33203125" style="4" bestFit="1" customWidth="1"/>
    <col min="15879" max="16114" width="8.83203125" style="4"/>
    <col min="16115" max="16115" width="20.5" style="4" bestFit="1" customWidth="1"/>
    <col min="16116" max="16116" width="13.6640625" style="4" bestFit="1" customWidth="1"/>
    <col min="16117" max="16117" width="8.5" style="4" bestFit="1" customWidth="1"/>
    <col min="16118" max="16118" width="8.33203125" style="4" bestFit="1" customWidth="1"/>
    <col min="16119" max="16119" width="0.6640625" style="4" customWidth="1"/>
    <col min="16120" max="16120" width="13.6640625" style="4" bestFit="1" customWidth="1"/>
    <col min="16121" max="16121" width="8.5" style="4" bestFit="1" customWidth="1"/>
    <col min="16122" max="16122" width="8.33203125" style="4" bestFit="1" customWidth="1"/>
    <col min="16123" max="16123" width="0.83203125" style="4" customWidth="1"/>
    <col min="16124" max="16124" width="13.6640625" style="4" bestFit="1" customWidth="1"/>
    <col min="16125" max="16125" width="8.5" style="4" bestFit="1" customWidth="1"/>
    <col min="16126" max="16126" width="8.33203125" style="4" bestFit="1" customWidth="1"/>
    <col min="16127" max="16127" width="0.6640625" style="4" customWidth="1"/>
    <col min="16128" max="16128" width="13.6640625" style="4" bestFit="1" customWidth="1"/>
    <col min="16129" max="16129" width="8.5" style="4" bestFit="1" customWidth="1"/>
    <col min="16130" max="16130" width="8.33203125" style="4" bestFit="1" customWidth="1"/>
    <col min="16131" max="16131" width="0.5" style="4" customWidth="1"/>
    <col min="16132" max="16132" width="13.6640625" style="4" bestFit="1" customWidth="1"/>
    <col min="16133" max="16133" width="8.5" style="4" bestFit="1" customWidth="1"/>
    <col min="16134" max="16134" width="8.33203125" style="4" bestFit="1" customWidth="1"/>
    <col min="16135" max="16384" width="8.83203125" style="4"/>
  </cols>
  <sheetData>
    <row r="1" spans="1:13" x14ac:dyDescent="0.2">
      <c r="A1" s="19" t="s">
        <v>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x14ac:dyDescent="0.2">
      <c r="A2" s="19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16" thickBot="1" x14ac:dyDescent="0.25">
      <c r="A3" s="5"/>
      <c r="B3" s="19" t="s">
        <v>1</v>
      </c>
      <c r="C3" s="22"/>
      <c r="D3" s="22"/>
      <c r="E3" s="5"/>
      <c r="F3" s="19" t="s">
        <v>27</v>
      </c>
      <c r="G3" s="22"/>
      <c r="H3" s="22"/>
      <c r="I3" s="5"/>
      <c r="J3" s="19" t="s">
        <v>28</v>
      </c>
      <c r="K3" s="22"/>
      <c r="L3" s="22"/>
    </row>
    <row r="4" spans="1:13" ht="16" thickBot="1" x14ac:dyDescent="0.25">
      <c r="A4" s="48"/>
      <c r="B4" s="209" t="s">
        <v>82</v>
      </c>
      <c r="C4" s="209"/>
      <c r="D4" s="210"/>
      <c r="E4" s="5"/>
      <c r="F4" s="211" t="s">
        <v>82</v>
      </c>
      <c r="G4" s="209"/>
      <c r="H4" s="210"/>
      <c r="I4" s="5"/>
      <c r="J4" s="211" t="s">
        <v>82</v>
      </c>
      <c r="K4" s="209"/>
      <c r="L4" s="209"/>
      <c r="M4" s="49"/>
    </row>
    <row r="5" spans="1:13" x14ac:dyDescent="0.2">
      <c r="A5" s="7"/>
      <c r="B5" s="50" t="s">
        <v>81</v>
      </c>
      <c r="C5" s="51" t="s">
        <v>80</v>
      </c>
      <c r="D5" s="52" t="s">
        <v>79</v>
      </c>
      <c r="E5" s="5"/>
      <c r="F5" s="50" t="s">
        <v>81</v>
      </c>
      <c r="G5" s="51" t="s">
        <v>80</v>
      </c>
      <c r="H5" s="52" t="s">
        <v>79</v>
      </c>
      <c r="I5" s="5"/>
      <c r="J5" s="50" t="s">
        <v>81</v>
      </c>
      <c r="K5" s="51" t="s">
        <v>80</v>
      </c>
      <c r="L5" s="51" t="s">
        <v>79</v>
      </c>
      <c r="M5" s="49"/>
    </row>
    <row r="6" spans="1:13" ht="17" thickBot="1" x14ac:dyDescent="0.25">
      <c r="A6" s="6" t="s">
        <v>12</v>
      </c>
      <c r="B6" s="53" t="s">
        <v>78</v>
      </c>
      <c r="C6" s="54" t="s">
        <v>16</v>
      </c>
      <c r="D6" s="55" t="s">
        <v>139</v>
      </c>
      <c r="E6" s="5"/>
      <c r="F6" s="53" t="s">
        <v>78</v>
      </c>
      <c r="G6" s="54" t="s">
        <v>16</v>
      </c>
      <c r="H6" s="56" t="s">
        <v>139</v>
      </c>
      <c r="I6" s="5"/>
      <c r="J6" s="57" t="s">
        <v>78</v>
      </c>
      <c r="K6" s="58" t="s">
        <v>16</v>
      </c>
      <c r="L6" s="58" t="s">
        <v>139</v>
      </c>
      <c r="M6" s="49"/>
    </row>
    <row r="7" spans="1:13" x14ac:dyDescent="0.2">
      <c r="A7" s="203" t="s">
        <v>77</v>
      </c>
      <c r="B7" s="59">
        <v>2.63E-2</v>
      </c>
      <c r="C7" s="60">
        <v>0.37</v>
      </c>
      <c r="D7" s="205">
        <v>0.26500000000000001</v>
      </c>
      <c r="E7" s="5"/>
      <c r="F7" s="59">
        <v>2.6003999999999999E-2</v>
      </c>
      <c r="G7" s="60">
        <v>0.36918000000000001</v>
      </c>
      <c r="H7" s="205">
        <v>0.26550000000000001</v>
      </c>
      <c r="I7" s="5"/>
      <c r="J7" s="59">
        <f t="shared" ref="J7:J26" si="0">F7-B7</f>
        <v>-2.9600000000000112E-4</v>
      </c>
      <c r="K7" s="60">
        <f t="shared" ref="K7:K26" si="1">G7-C7</f>
        <v>-8.1999999999998741E-4</v>
      </c>
      <c r="L7" s="207">
        <f t="shared" ref="L7:L26" si="2">H7-D7</f>
        <v>5.0000000000000044E-4</v>
      </c>
      <c r="M7" s="49"/>
    </row>
    <row r="8" spans="1:13" ht="16" thickBot="1" x14ac:dyDescent="0.25">
      <c r="A8" s="204"/>
      <c r="B8" s="61">
        <v>0.76</v>
      </c>
      <c r="C8" s="62">
        <v>5.46</v>
      </c>
      <c r="D8" s="206"/>
      <c r="E8" s="5"/>
      <c r="F8" s="61">
        <v>0.75600000000000001</v>
      </c>
      <c r="G8" s="62">
        <v>5.4690000000000003</v>
      </c>
      <c r="H8" s="206"/>
      <c r="I8" s="5"/>
      <c r="J8" s="61">
        <f t="shared" si="0"/>
        <v>-4.0000000000000036E-3</v>
      </c>
      <c r="K8" s="62">
        <f t="shared" si="1"/>
        <v>9.0000000000003411E-3</v>
      </c>
      <c r="L8" s="208">
        <f t="shared" si="2"/>
        <v>0</v>
      </c>
      <c r="M8" s="49"/>
    </row>
    <row r="9" spans="1:13" x14ac:dyDescent="0.2">
      <c r="A9" s="203" t="s">
        <v>18</v>
      </c>
      <c r="B9" s="59">
        <v>4.7800000000000002E-2</v>
      </c>
      <c r="C9" s="60">
        <v>0.04</v>
      </c>
      <c r="D9" s="205">
        <v>3.0000000000000001E-3</v>
      </c>
      <c r="E9" s="5"/>
      <c r="F9" s="59">
        <v>4.7509753656726363E-2</v>
      </c>
      <c r="G9" s="60">
        <v>4.5139626915263506E-2</v>
      </c>
      <c r="H9" s="205">
        <v>3.4997278700563093E-3</v>
      </c>
      <c r="I9" s="5"/>
      <c r="J9" s="59">
        <f t="shared" si="0"/>
        <v>-2.9024634327363963E-4</v>
      </c>
      <c r="K9" s="60">
        <f t="shared" si="1"/>
        <v>5.1396269152635052E-3</v>
      </c>
      <c r="L9" s="207">
        <f t="shared" si="2"/>
        <v>4.9972787005630927E-4</v>
      </c>
      <c r="M9" s="49"/>
    </row>
    <row r="10" spans="1:13" ht="16" thickBot="1" x14ac:dyDescent="0.25">
      <c r="A10" s="204"/>
      <c r="B10" s="61">
        <v>2.35</v>
      </c>
      <c r="C10" s="62">
        <v>1.1200000000000001</v>
      </c>
      <c r="D10" s="206"/>
      <c r="E10" s="5"/>
      <c r="F10" s="61">
        <v>2.3372438708142163</v>
      </c>
      <c r="G10" s="62">
        <v>1.131795705267084</v>
      </c>
      <c r="H10" s="206"/>
      <c r="I10" s="5"/>
      <c r="J10" s="61">
        <f t="shared" si="0"/>
        <v>-1.2756129185783838E-2</v>
      </c>
      <c r="K10" s="62">
        <f t="shared" si="1"/>
        <v>1.1795705267083845E-2</v>
      </c>
      <c r="L10" s="208">
        <f t="shared" si="2"/>
        <v>0</v>
      </c>
      <c r="M10" s="49"/>
    </row>
    <row r="11" spans="1:13" x14ac:dyDescent="0.2">
      <c r="A11" s="203" t="s">
        <v>19</v>
      </c>
      <c r="B11" s="59">
        <v>2.93E-2</v>
      </c>
      <c r="C11" s="60">
        <v>0.28000000000000003</v>
      </c>
      <c r="D11" s="205">
        <v>0.34899999999999998</v>
      </c>
      <c r="E11" s="5"/>
      <c r="F11" s="59">
        <v>2.9114922049870321E-2</v>
      </c>
      <c r="G11" s="60">
        <v>0.28149274525840579</v>
      </c>
      <c r="H11" s="205">
        <v>0.34854469545275452</v>
      </c>
      <c r="I11" s="5"/>
      <c r="J11" s="59">
        <f t="shared" si="0"/>
        <v>-1.8507795012967856E-4</v>
      </c>
      <c r="K11" s="60">
        <f t="shared" si="1"/>
        <v>1.4927452584057588E-3</v>
      </c>
      <c r="L11" s="207">
        <f t="shared" si="2"/>
        <v>-4.5530454724546088E-4</v>
      </c>
      <c r="M11" s="49"/>
    </row>
    <row r="12" spans="1:13" ht="16" thickBot="1" x14ac:dyDescent="0.25">
      <c r="A12" s="204"/>
      <c r="B12" s="61">
        <v>1.35</v>
      </c>
      <c r="C12" s="62">
        <v>6.62</v>
      </c>
      <c r="D12" s="206"/>
      <c r="E12" s="5"/>
      <c r="F12" s="61">
        <v>1.3430941619343804</v>
      </c>
      <c r="G12" s="62">
        <v>6.6183062814676843</v>
      </c>
      <c r="H12" s="206"/>
      <c r="I12" s="5"/>
      <c r="J12" s="61">
        <f t="shared" si="0"/>
        <v>-6.9058380656197293E-3</v>
      </c>
      <c r="K12" s="62">
        <f t="shared" si="1"/>
        <v>-1.6937185323158133E-3</v>
      </c>
      <c r="L12" s="208">
        <f t="shared" si="2"/>
        <v>0</v>
      </c>
      <c r="M12" s="49"/>
    </row>
    <row r="13" spans="1:13" x14ac:dyDescent="0.2">
      <c r="A13" s="203" t="s">
        <v>76</v>
      </c>
      <c r="B13" s="59">
        <v>4.6899999999999997E-2</v>
      </c>
      <c r="C13" s="60">
        <v>0.12</v>
      </c>
      <c r="D13" s="205">
        <v>0.223</v>
      </c>
      <c r="E13" s="5"/>
      <c r="F13" s="59">
        <v>4.6691999999999997E-2</v>
      </c>
      <c r="G13" s="60">
        <v>0.11747</v>
      </c>
      <c r="H13" s="205">
        <v>0.22220000000000001</v>
      </c>
      <c r="I13" s="5"/>
      <c r="J13" s="59">
        <f t="shared" si="0"/>
        <v>-2.0799999999999985E-4</v>
      </c>
      <c r="K13" s="60">
        <f t="shared" si="1"/>
        <v>-2.5299999999999906E-3</v>
      </c>
      <c r="L13" s="207">
        <f t="shared" si="2"/>
        <v>-7.9999999999999516E-4</v>
      </c>
      <c r="M13" s="49"/>
    </row>
    <row r="14" spans="1:13" ht="16" thickBot="1" x14ac:dyDescent="0.25">
      <c r="A14" s="204"/>
      <c r="B14" s="61">
        <v>3.84</v>
      </c>
      <c r="C14" s="62">
        <v>4.8899999999999997</v>
      </c>
      <c r="D14" s="206"/>
      <c r="E14" s="5"/>
      <c r="F14" s="61">
        <v>3.8079999999999998</v>
      </c>
      <c r="G14" s="62">
        <v>4.8840000000000003</v>
      </c>
      <c r="H14" s="206"/>
      <c r="I14" s="5"/>
      <c r="J14" s="61">
        <f t="shared" si="0"/>
        <v>-3.2000000000000028E-2</v>
      </c>
      <c r="K14" s="62">
        <f t="shared" si="1"/>
        <v>-5.9999999999993392E-3</v>
      </c>
      <c r="L14" s="208">
        <f t="shared" si="2"/>
        <v>0</v>
      </c>
      <c r="M14" s="49"/>
    </row>
    <row r="15" spans="1:13" x14ac:dyDescent="0.2">
      <c r="A15" s="203" t="s">
        <v>21</v>
      </c>
      <c r="B15" s="59">
        <v>1.24E-2</v>
      </c>
      <c r="C15" s="60">
        <v>0.02</v>
      </c>
      <c r="D15" s="205">
        <v>-6.0000000000000001E-3</v>
      </c>
      <c r="E15" s="5"/>
      <c r="F15" s="59">
        <v>1.2100928012038199E-2</v>
      </c>
      <c r="G15" s="60">
        <v>2.5195810118837682E-2</v>
      </c>
      <c r="H15" s="205">
        <v>-5.9631572941881636E-3</v>
      </c>
      <c r="I15" s="5"/>
      <c r="J15" s="59">
        <f t="shared" si="0"/>
        <v>-2.9907198796180062E-4</v>
      </c>
      <c r="K15" s="60">
        <f t="shared" si="1"/>
        <v>5.1958101188376814E-3</v>
      </c>
      <c r="L15" s="207">
        <f t="shared" si="2"/>
        <v>3.6842705811836532E-5</v>
      </c>
      <c r="M15" s="49"/>
    </row>
    <row r="16" spans="1:13" ht="16" thickBot="1" x14ac:dyDescent="0.25">
      <c r="A16" s="204"/>
      <c r="B16" s="61">
        <v>0.7</v>
      </c>
      <c r="C16" s="62">
        <v>0.71</v>
      </c>
      <c r="D16" s="206"/>
      <c r="E16" s="5"/>
      <c r="F16" s="61">
        <v>0.68328456797210757</v>
      </c>
      <c r="G16" s="62">
        <v>0.72510364292673102</v>
      </c>
      <c r="H16" s="206"/>
      <c r="I16" s="5"/>
      <c r="J16" s="61">
        <f t="shared" si="0"/>
        <v>-1.6715432027892385E-2</v>
      </c>
      <c r="K16" s="62">
        <f t="shared" si="1"/>
        <v>1.5103642926731053E-2</v>
      </c>
      <c r="L16" s="208">
        <f t="shared" si="2"/>
        <v>0</v>
      </c>
      <c r="M16" s="49"/>
    </row>
    <row r="17" spans="1:13" x14ac:dyDescent="0.2">
      <c r="A17" s="203" t="s">
        <v>75</v>
      </c>
      <c r="B17" s="59">
        <v>3.8199999999999998E-2</v>
      </c>
      <c r="C17" s="60">
        <v>0.55000000000000004</v>
      </c>
      <c r="D17" s="205">
        <v>0.374</v>
      </c>
      <c r="E17" s="5"/>
      <c r="F17" s="59">
        <v>3.7859999999999998E-2</v>
      </c>
      <c r="G17" s="60">
        <v>0.54932999999999998</v>
      </c>
      <c r="H17" s="205">
        <v>0.3745</v>
      </c>
      <c r="I17" s="5"/>
      <c r="J17" s="59">
        <f t="shared" si="0"/>
        <v>-3.4000000000000002E-4</v>
      </c>
      <c r="K17" s="60">
        <f t="shared" si="1"/>
        <v>-6.7000000000005944E-4</v>
      </c>
      <c r="L17" s="207">
        <f t="shared" si="2"/>
        <v>5.0000000000000044E-4</v>
      </c>
      <c r="M17" s="49"/>
    </row>
    <row r="18" spans="1:13" ht="16" thickBot="1" x14ac:dyDescent="0.25">
      <c r="A18" s="204"/>
      <c r="B18" s="61">
        <v>0.95</v>
      </c>
      <c r="C18" s="62">
        <v>6.98</v>
      </c>
      <c r="D18" s="206"/>
      <c r="E18" s="5"/>
      <c r="F18" s="61">
        <v>0.94499999999999995</v>
      </c>
      <c r="G18" s="62">
        <v>6.992</v>
      </c>
      <c r="H18" s="206"/>
      <c r="I18" s="5"/>
      <c r="J18" s="61">
        <f t="shared" si="0"/>
        <v>-5.0000000000000044E-3</v>
      </c>
      <c r="K18" s="62">
        <f t="shared" si="1"/>
        <v>1.1999999999999567E-2</v>
      </c>
      <c r="L18" s="208">
        <f t="shared" si="2"/>
        <v>0</v>
      </c>
      <c r="M18" s="49"/>
    </row>
    <row r="19" spans="1:13" x14ac:dyDescent="0.2">
      <c r="A19" s="203" t="s">
        <v>74</v>
      </c>
      <c r="B19" s="59">
        <v>-8.3799999999999999E-2</v>
      </c>
      <c r="C19" s="60">
        <v>0.74</v>
      </c>
      <c r="D19" s="205">
        <v>0.24199999999999999</v>
      </c>
      <c r="E19" s="5"/>
      <c r="F19" s="59">
        <v>-8.3975999999999995E-2</v>
      </c>
      <c r="G19" s="60">
        <v>0.73557300000000003</v>
      </c>
      <c r="H19" s="205">
        <v>0.24229999999999999</v>
      </c>
      <c r="I19" s="5"/>
      <c r="J19" s="59">
        <f t="shared" si="0"/>
        <v>-1.759999999999956E-4</v>
      </c>
      <c r="K19" s="60">
        <f t="shared" si="1"/>
        <v>-4.4269999999999587E-3</v>
      </c>
      <c r="L19" s="207">
        <f t="shared" si="2"/>
        <v>2.9999999999999472E-4</v>
      </c>
      <c r="M19" s="49"/>
    </row>
    <row r="20" spans="1:13" ht="16" thickBot="1" x14ac:dyDescent="0.25">
      <c r="A20" s="204"/>
      <c r="B20" s="61">
        <v>-1.1499999999999999</v>
      </c>
      <c r="C20" s="62">
        <v>5.15</v>
      </c>
      <c r="D20" s="206"/>
      <c r="E20" s="5"/>
      <c r="F20" s="61">
        <v>-1.155</v>
      </c>
      <c r="G20" s="62">
        <v>5.1559999999999997</v>
      </c>
      <c r="H20" s="206"/>
      <c r="I20" s="5"/>
      <c r="J20" s="61">
        <f t="shared" si="0"/>
        <v>-5.0000000000001155E-3</v>
      </c>
      <c r="K20" s="62">
        <f t="shared" si="1"/>
        <v>5.9999999999993392E-3</v>
      </c>
      <c r="L20" s="208">
        <f t="shared" si="2"/>
        <v>0</v>
      </c>
      <c r="M20" s="49"/>
    </row>
    <row r="21" spans="1:13" x14ac:dyDescent="0.2">
      <c r="A21" s="203" t="s">
        <v>24</v>
      </c>
      <c r="B21" s="59">
        <v>2.41E-2</v>
      </c>
      <c r="C21" s="60">
        <v>0.37</v>
      </c>
      <c r="D21" s="205">
        <v>0.11799999999999999</v>
      </c>
      <c r="E21" s="5"/>
      <c r="F21" s="59">
        <v>2.3804926267117679E-2</v>
      </c>
      <c r="G21" s="60">
        <v>0.36725485894082432</v>
      </c>
      <c r="H21" s="205">
        <v>0.11922762422683315</v>
      </c>
      <c r="I21" s="5"/>
      <c r="J21" s="59">
        <f t="shared" si="0"/>
        <v>-2.9507373288232067E-4</v>
      </c>
      <c r="K21" s="60">
        <f t="shared" si="1"/>
        <v>-2.7451410591756709E-3</v>
      </c>
      <c r="L21" s="207">
        <f t="shared" si="2"/>
        <v>1.22762422683316E-3</v>
      </c>
      <c r="M21" s="49"/>
    </row>
    <row r="22" spans="1:13" ht="16" thickBot="1" x14ac:dyDescent="0.25">
      <c r="A22" s="204"/>
      <c r="B22" s="61">
        <v>0.44</v>
      </c>
      <c r="C22" s="62">
        <v>3.43</v>
      </c>
      <c r="D22" s="206"/>
      <c r="E22" s="5"/>
      <c r="F22" s="61">
        <v>0.43741258354165824</v>
      </c>
      <c r="G22" s="62">
        <v>3.4393851186599371</v>
      </c>
      <c r="H22" s="206"/>
      <c r="I22" s="5"/>
      <c r="J22" s="61">
        <f t="shared" si="0"/>
        <v>-2.5874164583417625E-3</v>
      </c>
      <c r="K22" s="62">
        <f t="shared" si="1"/>
        <v>9.385118659936964E-3</v>
      </c>
      <c r="L22" s="208">
        <f t="shared" si="2"/>
        <v>0</v>
      </c>
      <c r="M22" s="49"/>
    </row>
    <row r="23" spans="1:13" x14ac:dyDescent="0.2">
      <c r="A23" s="203" t="s">
        <v>25</v>
      </c>
      <c r="B23" s="59">
        <v>-1.2999999999999999E-2</v>
      </c>
      <c r="C23" s="60">
        <v>0.01</v>
      </c>
      <c r="D23" s="205">
        <v>-1.2E-2</v>
      </c>
      <c r="E23" s="5"/>
      <c r="F23" s="59">
        <v>-1.3070780222238239E-2</v>
      </c>
      <c r="G23" s="60">
        <v>9.9344199900113905E-3</v>
      </c>
      <c r="H23" s="205">
        <v>-1.2494670229335975E-2</v>
      </c>
      <c r="I23" s="5"/>
      <c r="J23" s="59">
        <f t="shared" si="0"/>
        <v>-7.0780222238239418E-5</v>
      </c>
      <c r="K23" s="60">
        <f t="shared" si="1"/>
        <v>-6.5580009988609744E-5</v>
      </c>
      <c r="L23" s="207">
        <f t="shared" si="2"/>
        <v>-4.946702293359747E-4</v>
      </c>
      <c r="M23" s="49"/>
    </row>
    <row r="24" spans="1:13" ht="16" thickBot="1" x14ac:dyDescent="0.25">
      <c r="A24" s="204"/>
      <c r="B24" s="61">
        <v>-0.28999999999999998</v>
      </c>
      <c r="C24" s="62">
        <v>0.12</v>
      </c>
      <c r="D24" s="206"/>
      <c r="E24" s="5"/>
      <c r="F24" s="61">
        <v>-0.29162364428121268</v>
      </c>
      <c r="G24" s="62">
        <v>0.11296725144988554</v>
      </c>
      <c r="H24" s="206"/>
      <c r="I24" s="5"/>
      <c r="J24" s="61">
        <f t="shared" si="0"/>
        <v>-1.6236442812126994E-3</v>
      </c>
      <c r="K24" s="62">
        <f t="shared" si="1"/>
        <v>-7.0327485501144593E-3</v>
      </c>
      <c r="L24" s="208">
        <f t="shared" si="2"/>
        <v>0</v>
      </c>
      <c r="M24" s="49"/>
    </row>
    <row r="25" spans="1:13" x14ac:dyDescent="0.2">
      <c r="A25" s="203" t="s">
        <v>26</v>
      </c>
      <c r="B25" s="59">
        <v>7.3400000000000007E-2</v>
      </c>
      <c r="C25" s="60">
        <v>-0.99</v>
      </c>
      <c r="D25" s="205">
        <v>0.56999999999999995</v>
      </c>
      <c r="E25" s="5"/>
      <c r="F25" s="59">
        <v>7.3385533444619511E-2</v>
      </c>
      <c r="G25" s="60">
        <v>-0.99322087801681114</v>
      </c>
      <c r="H25" s="205">
        <v>0.57111744926166907</v>
      </c>
      <c r="I25" s="5"/>
      <c r="J25" s="59">
        <f t="shared" si="0"/>
        <v>-1.4466555380496238E-5</v>
      </c>
      <c r="K25" s="60">
        <f t="shared" si="1"/>
        <v>-3.2208780168111462E-3</v>
      </c>
      <c r="L25" s="207">
        <f t="shared" si="2"/>
        <v>1.1174492616691234E-3</v>
      </c>
      <c r="M25" s="49"/>
    </row>
    <row r="26" spans="1:13" ht="16" thickBot="1" x14ac:dyDescent="0.25">
      <c r="A26" s="204"/>
      <c r="B26" s="61">
        <v>1.5</v>
      </c>
      <c r="C26" s="62">
        <v>-10.34</v>
      </c>
      <c r="D26" s="206"/>
      <c r="E26" s="5"/>
      <c r="F26" s="61">
        <v>1.5032913040674758</v>
      </c>
      <c r="G26" s="62">
        <v>-10.369727767954565</v>
      </c>
      <c r="H26" s="206"/>
      <c r="I26" s="5"/>
      <c r="J26" s="61">
        <f t="shared" si="0"/>
        <v>3.2913040674757976E-3</v>
      </c>
      <c r="K26" s="62">
        <f t="shared" si="1"/>
        <v>-2.972776795456511E-2</v>
      </c>
      <c r="L26" s="208">
        <f t="shared" si="2"/>
        <v>0</v>
      </c>
      <c r="M26" s="49"/>
    </row>
  </sheetData>
  <mergeCells count="43">
    <mergeCell ref="L7:L8"/>
    <mergeCell ref="B4:D4"/>
    <mergeCell ref="F4:H4"/>
    <mergeCell ref="J4:L4"/>
    <mergeCell ref="A9:A10"/>
    <mergeCell ref="D9:D10"/>
    <mergeCell ref="H9:H10"/>
    <mergeCell ref="L9:L10"/>
    <mergeCell ref="A7:A8"/>
    <mergeCell ref="D7:D8"/>
    <mergeCell ref="H7:H8"/>
    <mergeCell ref="A11:A12"/>
    <mergeCell ref="D11:D12"/>
    <mergeCell ref="H11:H12"/>
    <mergeCell ref="L11:L12"/>
    <mergeCell ref="A13:A14"/>
    <mergeCell ref="D13:D14"/>
    <mergeCell ref="H13:H14"/>
    <mergeCell ref="L13:L14"/>
    <mergeCell ref="A15:A16"/>
    <mergeCell ref="D15:D16"/>
    <mergeCell ref="H15:H16"/>
    <mergeCell ref="L15:L16"/>
    <mergeCell ref="A17:A18"/>
    <mergeCell ref="D17:D18"/>
    <mergeCell ref="H17:H18"/>
    <mergeCell ref="L17:L18"/>
    <mergeCell ref="A19:A20"/>
    <mergeCell ref="D19:D20"/>
    <mergeCell ref="H19:H20"/>
    <mergeCell ref="L19:L20"/>
    <mergeCell ref="A21:A22"/>
    <mergeCell ref="D21:D22"/>
    <mergeCell ref="H21:H22"/>
    <mergeCell ref="L21:L22"/>
    <mergeCell ref="A23:A24"/>
    <mergeCell ref="D23:D24"/>
    <mergeCell ref="H23:H24"/>
    <mergeCell ref="L23:L24"/>
    <mergeCell ref="A25:A26"/>
    <mergeCell ref="D25:D26"/>
    <mergeCell ref="H25:H26"/>
    <mergeCell ref="L25:L26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5BD9-88BC-6E4F-8412-99F31FB30085}">
  <dimension ref="A1:H48"/>
  <sheetViews>
    <sheetView workbookViewId="0">
      <selection activeCell="D12" sqref="D12"/>
    </sheetView>
  </sheetViews>
  <sheetFormatPr baseColWidth="10" defaultRowHeight="14" x14ac:dyDescent="0.2"/>
  <cols>
    <col min="1" max="1" width="25" style="24" customWidth="1"/>
    <col min="2" max="16384" width="10.83203125" style="24"/>
  </cols>
  <sheetData>
    <row r="1" spans="1:8" x14ac:dyDescent="0.2">
      <c r="A1" s="30" t="s">
        <v>65</v>
      </c>
      <c r="B1" s="31"/>
      <c r="C1" s="31"/>
      <c r="D1" s="31"/>
      <c r="E1" s="31"/>
      <c r="F1" s="31"/>
      <c r="G1" s="32"/>
      <c r="H1" s="32"/>
    </row>
    <row r="2" spans="1:8" ht="15" thickBot="1" x14ac:dyDescent="0.25">
      <c r="A2" s="34"/>
      <c r="B2" s="31"/>
      <c r="C2" s="31"/>
      <c r="D2" s="31"/>
      <c r="E2" s="31"/>
      <c r="F2" s="31"/>
      <c r="G2" s="32"/>
      <c r="H2" s="32"/>
    </row>
    <row r="3" spans="1:8" x14ac:dyDescent="0.2">
      <c r="A3" s="35" t="s">
        <v>1</v>
      </c>
      <c r="B3" s="36" t="s">
        <v>66</v>
      </c>
      <c r="C3" s="36" t="s">
        <v>11</v>
      </c>
      <c r="D3" s="36" t="s">
        <v>67</v>
      </c>
      <c r="E3" s="36" t="s">
        <v>66</v>
      </c>
      <c r="F3" s="36" t="s">
        <v>11</v>
      </c>
      <c r="G3" s="37" t="s">
        <v>67</v>
      </c>
      <c r="H3" s="63" t="s">
        <v>66</v>
      </c>
    </row>
    <row r="4" spans="1:8" x14ac:dyDescent="0.2">
      <c r="A4" s="64"/>
      <c r="B4" s="31" t="s">
        <v>2</v>
      </c>
      <c r="C4" s="31" t="s">
        <v>2</v>
      </c>
      <c r="D4" s="31" t="s">
        <v>2</v>
      </c>
      <c r="E4" s="31" t="s">
        <v>67</v>
      </c>
      <c r="F4" s="31" t="s">
        <v>3</v>
      </c>
      <c r="G4" s="32" t="s">
        <v>3</v>
      </c>
      <c r="H4" s="65" t="s">
        <v>67</v>
      </c>
    </row>
    <row r="5" spans="1:8" x14ac:dyDescent="0.2">
      <c r="A5" s="40"/>
      <c r="B5" s="31" t="s">
        <v>7</v>
      </c>
      <c r="C5" s="31" t="s">
        <v>8</v>
      </c>
      <c r="D5" s="31" t="s">
        <v>8</v>
      </c>
      <c r="E5" s="31" t="s">
        <v>68</v>
      </c>
      <c r="F5" s="31" t="s">
        <v>69</v>
      </c>
      <c r="G5" s="32" t="s">
        <v>69</v>
      </c>
      <c r="H5" s="65" t="s">
        <v>68</v>
      </c>
    </row>
    <row r="6" spans="1:8" ht="15" thickBot="1" x14ac:dyDescent="0.25">
      <c r="A6" s="40" t="s">
        <v>12</v>
      </c>
      <c r="B6" s="31" t="s">
        <v>13</v>
      </c>
      <c r="C6" s="31" t="s">
        <v>14</v>
      </c>
      <c r="D6" s="31" t="s">
        <v>14</v>
      </c>
      <c r="E6" s="31" t="s">
        <v>70</v>
      </c>
      <c r="F6" s="31" t="s">
        <v>16</v>
      </c>
      <c r="G6" s="32" t="s">
        <v>16</v>
      </c>
      <c r="H6" s="65" t="s">
        <v>71</v>
      </c>
    </row>
    <row r="7" spans="1:8" ht="15" thickBot="1" x14ac:dyDescent="0.25">
      <c r="A7" s="42" t="s">
        <v>17</v>
      </c>
      <c r="B7" s="43">
        <v>0.08</v>
      </c>
      <c r="C7" s="43">
        <v>0.1</v>
      </c>
      <c r="D7" s="43">
        <v>0.10100000000000001</v>
      </c>
      <c r="E7" s="43">
        <v>7.0000000000000001E-3</v>
      </c>
      <c r="F7" s="44">
        <v>0.52</v>
      </c>
      <c r="G7" s="44">
        <v>0.64</v>
      </c>
      <c r="H7" s="66">
        <v>0.12</v>
      </c>
    </row>
    <row r="8" spans="1:8" x14ac:dyDescent="0.2">
      <c r="A8" s="40" t="s">
        <v>18</v>
      </c>
      <c r="B8" s="31">
        <v>5.3999999999999999E-2</v>
      </c>
      <c r="C8" s="31">
        <v>5.0999999999999997E-2</v>
      </c>
      <c r="D8" s="31">
        <v>7.1999999999999995E-2</v>
      </c>
      <c r="E8" s="31">
        <v>0.41499999999999998</v>
      </c>
      <c r="F8" s="32">
        <v>0.13</v>
      </c>
      <c r="G8" s="32">
        <v>0.23</v>
      </c>
      <c r="H8" s="65">
        <v>0.11</v>
      </c>
    </row>
    <row r="9" spans="1:8" x14ac:dyDescent="0.2">
      <c r="A9" s="40" t="s">
        <v>19</v>
      </c>
      <c r="B9" s="31">
        <v>7.0000000000000007E-2</v>
      </c>
      <c r="C9" s="31">
        <v>6.7000000000000004E-2</v>
      </c>
      <c r="D9" s="31">
        <v>8.5999999999999993E-2</v>
      </c>
      <c r="E9" s="31">
        <v>0.28299999999999997</v>
      </c>
      <c r="F9" s="32">
        <v>0.6</v>
      </c>
      <c r="G9" s="32">
        <v>0.64</v>
      </c>
      <c r="H9" s="65">
        <v>0.05</v>
      </c>
    </row>
    <row r="10" spans="1:8" x14ac:dyDescent="0.2">
      <c r="A10" s="40" t="s">
        <v>20</v>
      </c>
      <c r="B10" s="31">
        <v>6.4000000000000001E-2</v>
      </c>
      <c r="C10" s="31">
        <v>3.5000000000000003E-2</v>
      </c>
      <c r="D10" s="31">
        <v>4.2000000000000003E-2</v>
      </c>
      <c r="E10" s="31">
        <v>0.22900000000000001</v>
      </c>
      <c r="F10" s="32">
        <v>0.48</v>
      </c>
      <c r="G10" s="32">
        <v>0.5</v>
      </c>
      <c r="H10" s="65">
        <v>0.02</v>
      </c>
    </row>
    <row r="11" spans="1:8" x14ac:dyDescent="0.2">
      <c r="A11" s="40" t="s">
        <v>21</v>
      </c>
      <c r="B11" s="31">
        <v>1.6E-2</v>
      </c>
      <c r="C11" s="31">
        <v>4.3999999999999997E-2</v>
      </c>
      <c r="D11" s="31">
        <v>4.8000000000000001E-2</v>
      </c>
      <c r="E11" s="31">
        <v>9.5000000000000001E-2</v>
      </c>
      <c r="F11" s="32">
        <v>0.08</v>
      </c>
      <c r="G11" s="32">
        <v>0.26</v>
      </c>
      <c r="H11" s="65">
        <v>0.18</v>
      </c>
    </row>
    <row r="12" spans="1:8" x14ac:dyDescent="0.2">
      <c r="A12" s="40" t="s">
        <v>22</v>
      </c>
      <c r="B12" s="31">
        <v>0.11799999999999999</v>
      </c>
      <c r="C12" s="31">
        <v>0.126</v>
      </c>
      <c r="D12" s="31">
        <v>0.13400000000000001</v>
      </c>
      <c r="E12" s="31">
        <v>6.3E-2</v>
      </c>
      <c r="F12" s="32">
        <v>0.62</v>
      </c>
      <c r="G12" s="32">
        <v>0.76</v>
      </c>
      <c r="H12" s="65">
        <v>0.15</v>
      </c>
    </row>
    <row r="13" spans="1:8" x14ac:dyDescent="0.2">
      <c r="A13" s="40" t="s">
        <v>23</v>
      </c>
      <c r="B13" s="31">
        <v>2.3E-2</v>
      </c>
      <c r="C13" s="31">
        <v>0.20799999999999999</v>
      </c>
      <c r="D13" s="31">
        <v>0.26600000000000001</v>
      </c>
      <c r="E13" s="31">
        <v>0.28000000000000003</v>
      </c>
      <c r="F13" s="32">
        <v>0.5</v>
      </c>
      <c r="G13" s="32">
        <v>0.44</v>
      </c>
      <c r="H13" s="65">
        <v>-0.06</v>
      </c>
    </row>
    <row r="14" spans="1:8" x14ac:dyDescent="0.2">
      <c r="A14" s="40" t="s">
        <v>24</v>
      </c>
      <c r="B14" s="31">
        <v>7.6999999999999999E-2</v>
      </c>
      <c r="C14" s="31">
        <v>0.14399999999999999</v>
      </c>
      <c r="D14" s="31">
        <v>0.14399999999999999</v>
      </c>
      <c r="E14" s="31">
        <v>-2E-3</v>
      </c>
      <c r="F14" s="32">
        <v>0.36</v>
      </c>
      <c r="G14" s="32">
        <v>0.41</v>
      </c>
      <c r="H14" s="65">
        <v>0.05</v>
      </c>
    </row>
    <row r="15" spans="1:8" x14ac:dyDescent="0.2">
      <c r="A15" s="40" t="s">
        <v>25</v>
      </c>
      <c r="B15" s="31">
        <v>-1.2E-2</v>
      </c>
      <c r="C15" s="31">
        <v>0.111</v>
      </c>
      <c r="D15" s="31">
        <v>0.105</v>
      </c>
      <c r="E15" s="31">
        <v>-5.3999999999999999E-2</v>
      </c>
      <c r="F15" s="32">
        <v>0.01</v>
      </c>
      <c r="G15" s="32">
        <v>-0.28999999999999998</v>
      </c>
      <c r="H15" s="65">
        <v>-0.3</v>
      </c>
    </row>
    <row r="16" spans="1:8" ht="15" thickBot="1" x14ac:dyDescent="0.25">
      <c r="A16" s="67" t="s">
        <v>26</v>
      </c>
      <c r="B16" s="68">
        <v>-7.0999999999999994E-2</v>
      </c>
      <c r="C16" s="68">
        <v>0.186</v>
      </c>
      <c r="D16" s="68">
        <v>0.187</v>
      </c>
      <c r="E16" s="68">
        <v>6.0000000000000001E-3</v>
      </c>
      <c r="F16" s="69">
        <v>-0.76</v>
      </c>
      <c r="G16" s="69">
        <v>-0.78</v>
      </c>
      <c r="H16" s="70">
        <v>-0.02</v>
      </c>
    </row>
    <row r="18" spans="1:8" ht="15" thickBot="1" x14ac:dyDescent="0.25"/>
    <row r="19" spans="1:8" x14ac:dyDescent="0.2">
      <c r="A19" s="35" t="s">
        <v>72</v>
      </c>
      <c r="B19" s="36" t="s">
        <v>66</v>
      </c>
      <c r="C19" s="36" t="s">
        <v>11</v>
      </c>
      <c r="D19" s="36" t="s">
        <v>67</v>
      </c>
      <c r="E19" s="36" t="s">
        <v>66</v>
      </c>
      <c r="F19" s="36" t="s">
        <v>11</v>
      </c>
      <c r="G19" s="37" t="s">
        <v>67</v>
      </c>
      <c r="H19" s="63" t="s">
        <v>66</v>
      </c>
    </row>
    <row r="20" spans="1:8" x14ac:dyDescent="0.2">
      <c r="A20" s="64"/>
      <c r="B20" s="31" t="s">
        <v>2</v>
      </c>
      <c r="C20" s="31" t="s">
        <v>2</v>
      </c>
      <c r="D20" s="31" t="s">
        <v>2</v>
      </c>
      <c r="E20" s="31" t="s">
        <v>67</v>
      </c>
      <c r="F20" s="31" t="s">
        <v>3</v>
      </c>
      <c r="G20" s="32" t="s">
        <v>3</v>
      </c>
      <c r="H20" s="65" t="s">
        <v>67</v>
      </c>
    </row>
    <row r="21" spans="1:8" x14ac:dyDescent="0.2">
      <c r="A21" s="40"/>
      <c r="B21" s="31" t="s">
        <v>7</v>
      </c>
      <c r="C21" s="31" t="s">
        <v>8</v>
      </c>
      <c r="D21" s="31" t="s">
        <v>8</v>
      </c>
      <c r="E21" s="31" t="s">
        <v>68</v>
      </c>
      <c r="F21" s="31" t="s">
        <v>69</v>
      </c>
      <c r="G21" s="32" t="s">
        <v>69</v>
      </c>
      <c r="H21" s="65" t="s">
        <v>68</v>
      </c>
    </row>
    <row r="22" spans="1:8" ht="15" thickBot="1" x14ac:dyDescent="0.25">
      <c r="A22" s="40" t="s">
        <v>12</v>
      </c>
      <c r="B22" s="31" t="s">
        <v>13</v>
      </c>
      <c r="C22" s="31" t="s">
        <v>14</v>
      </c>
      <c r="D22" s="31" t="s">
        <v>14</v>
      </c>
      <c r="E22" s="31" t="s">
        <v>70</v>
      </c>
      <c r="F22" s="31" t="s">
        <v>16</v>
      </c>
      <c r="G22" s="32" t="s">
        <v>16</v>
      </c>
      <c r="H22" s="65" t="s">
        <v>71</v>
      </c>
    </row>
    <row r="23" spans="1:8" ht="15" thickBot="1" x14ac:dyDescent="0.25">
      <c r="A23" s="42" t="s">
        <v>17</v>
      </c>
      <c r="B23" s="43">
        <v>7.972305523083531E-2</v>
      </c>
      <c r="C23" s="43">
        <v>9.9947352049964175E-2</v>
      </c>
      <c r="D23" s="43">
        <v>0.10070139423212263</v>
      </c>
      <c r="E23" s="43">
        <v>7.5443937902577151E-3</v>
      </c>
      <c r="F23" s="44">
        <v>0.52407860057383837</v>
      </c>
      <c r="G23" s="44">
        <v>0.64114962271253206</v>
      </c>
      <c r="H23" s="66">
        <v>0.11707102213869369</v>
      </c>
    </row>
    <row r="24" spans="1:8" x14ac:dyDescent="0.2">
      <c r="A24" s="40" t="s">
        <v>18</v>
      </c>
      <c r="B24" s="31">
        <v>5.4078610786390882E-2</v>
      </c>
      <c r="C24" s="31">
        <v>5.0702083428717286E-2</v>
      </c>
      <c r="D24" s="31">
        <v>7.1768624525604549E-2</v>
      </c>
      <c r="E24" s="31">
        <v>0.41549655699070009</v>
      </c>
      <c r="F24" s="32">
        <v>0.12631698726489576</v>
      </c>
      <c r="G24" s="32">
        <v>0.23403024204398765</v>
      </c>
      <c r="H24" s="65">
        <v>0.10771325477909188</v>
      </c>
    </row>
    <row r="25" spans="1:8" x14ac:dyDescent="0.2">
      <c r="A25" s="40" t="s">
        <v>19</v>
      </c>
      <c r="B25" s="31">
        <v>7.007861078639091E-2</v>
      </c>
      <c r="C25" s="31">
        <v>6.6873280055430834E-2</v>
      </c>
      <c r="D25" s="31">
        <v>8.5793186012756664E-2</v>
      </c>
      <c r="E25" s="31">
        <v>0.28292175801221714</v>
      </c>
      <c r="F25" s="32">
        <v>0.59723352782608807</v>
      </c>
      <c r="G25" s="32">
        <v>0.64237619542327684</v>
      </c>
      <c r="H25" s="65">
        <v>4.5142667597188768E-2</v>
      </c>
    </row>
    <row r="26" spans="1:8" x14ac:dyDescent="0.2">
      <c r="A26" s="40" t="s">
        <v>20</v>
      </c>
      <c r="B26" s="31">
        <v>6.3782314490094569E-2</v>
      </c>
      <c r="C26" s="31">
        <v>3.4610162724749011E-2</v>
      </c>
      <c r="D26" s="31">
        <v>4.2534320935991153E-2</v>
      </c>
      <c r="E26" s="31">
        <v>0.22895466497115718</v>
      </c>
      <c r="F26" s="32">
        <v>0.48156305173087927</v>
      </c>
      <c r="G26" s="32">
        <v>0.50454780516831521</v>
      </c>
      <c r="H26" s="65">
        <v>2.2984753437435945E-2</v>
      </c>
    </row>
    <row r="27" spans="1:8" x14ac:dyDescent="0.2">
      <c r="A27" s="40" t="s">
        <v>21</v>
      </c>
      <c r="B27" s="31">
        <v>1.5767499675279781E-2</v>
      </c>
      <c r="C27" s="31">
        <v>4.3965477551273786E-2</v>
      </c>
      <c r="D27" s="31">
        <v>4.8253091490431714E-2</v>
      </c>
      <c r="E27" s="31">
        <v>9.7522287439220715E-2</v>
      </c>
      <c r="F27" s="32">
        <v>8.1310406295803259E-2</v>
      </c>
      <c r="G27" s="32">
        <v>0.25888168043857696</v>
      </c>
      <c r="H27" s="65">
        <v>0.17757127414277368</v>
      </c>
    </row>
    <row r="28" spans="1:8" x14ac:dyDescent="0.2">
      <c r="A28" s="40" t="s">
        <v>22</v>
      </c>
      <c r="B28" s="31">
        <v>0.11779712930490942</v>
      </c>
      <c r="C28" s="31">
        <v>0.12605899499410556</v>
      </c>
      <c r="D28" s="31">
        <v>0.13429403890426722</v>
      </c>
      <c r="E28" s="31">
        <v>6.5326904363680924E-2</v>
      </c>
      <c r="F28" s="32">
        <v>0.61828497836545049</v>
      </c>
      <c r="G28" s="32">
        <v>0.76315647808141585</v>
      </c>
      <c r="H28" s="65">
        <v>0.14487149971596536</v>
      </c>
    </row>
    <row r="29" spans="1:8" x14ac:dyDescent="0.2">
      <c r="A29" s="40" t="s">
        <v>23</v>
      </c>
      <c r="B29" s="31">
        <v>2.3071203378983496E-2</v>
      </c>
      <c r="C29" s="31">
        <v>0.20798941293225975</v>
      </c>
      <c r="D29" s="31">
        <v>0.26630654868594356</v>
      </c>
      <c r="E29" s="31">
        <v>0.28038511639377123</v>
      </c>
      <c r="F29" s="32">
        <v>0.50178074004846307</v>
      </c>
      <c r="G29" s="32">
        <v>0.44043777140110246</v>
      </c>
      <c r="H29" s="65">
        <v>-6.1342968647360607E-2</v>
      </c>
    </row>
    <row r="30" spans="1:8" x14ac:dyDescent="0.2">
      <c r="A30" s="40" t="s">
        <v>24</v>
      </c>
      <c r="B30" s="31">
        <v>7.7248981156761279E-2</v>
      </c>
      <c r="C30" s="31">
        <v>0.14438746537660083</v>
      </c>
      <c r="D30" s="31">
        <v>0.14411816812046746</v>
      </c>
      <c r="E30" s="31">
        <v>-1.8651013467891238E-3</v>
      </c>
      <c r="F30" s="32">
        <v>0.36088402420167892</v>
      </c>
      <c r="G30" s="32">
        <v>0.41141539190957432</v>
      </c>
      <c r="H30" s="65">
        <v>5.0531367707895403E-2</v>
      </c>
    </row>
    <row r="31" spans="1:8" x14ac:dyDescent="0.2">
      <c r="A31" s="40" t="s">
        <v>25</v>
      </c>
      <c r="B31" s="31">
        <v>-1.1625092917312804E-2</v>
      </c>
      <c r="C31" s="31">
        <v>0.11090935354884505</v>
      </c>
      <c r="D31" s="31">
        <v>0.1050888426683417</v>
      </c>
      <c r="E31" s="31">
        <v>-5.2479891859977063E-2</v>
      </c>
      <c r="F31" s="32">
        <v>1.2708782338649059E-2</v>
      </c>
      <c r="G31" s="32">
        <v>-0.29013109134599158</v>
      </c>
      <c r="H31" s="65">
        <v>-0.30283987368464066</v>
      </c>
    </row>
    <row r="32" spans="1:8" ht="15" thickBot="1" x14ac:dyDescent="0.25">
      <c r="A32" s="67" t="s">
        <v>26</v>
      </c>
      <c r="B32" s="68">
        <v>-7.1151018843238795E-2</v>
      </c>
      <c r="C32" s="68">
        <v>0.18560252877008812</v>
      </c>
      <c r="D32" s="68">
        <v>0.18685541601751834</v>
      </c>
      <c r="E32" s="68">
        <v>6.7503781103231382E-3</v>
      </c>
      <c r="F32" s="69">
        <v>-0.75926180013609179</v>
      </c>
      <c r="G32" s="69">
        <v>-0.77754065934669603</v>
      </c>
      <c r="H32" s="70">
        <v>-1.8278859210604237E-2</v>
      </c>
    </row>
    <row r="34" spans="1:8" ht="15" thickBot="1" x14ac:dyDescent="0.25"/>
    <row r="35" spans="1:8" x14ac:dyDescent="0.2">
      <c r="A35" s="35" t="s">
        <v>28</v>
      </c>
      <c r="B35" s="36" t="s">
        <v>66</v>
      </c>
      <c r="C35" s="36" t="s">
        <v>11</v>
      </c>
      <c r="D35" s="36" t="s">
        <v>67</v>
      </c>
      <c r="E35" s="36" t="s">
        <v>66</v>
      </c>
      <c r="F35" s="36" t="s">
        <v>11</v>
      </c>
      <c r="G35" s="37" t="s">
        <v>67</v>
      </c>
      <c r="H35" s="63" t="s">
        <v>66</v>
      </c>
    </row>
    <row r="36" spans="1:8" x14ac:dyDescent="0.2">
      <c r="A36" s="64"/>
      <c r="B36" s="31" t="s">
        <v>2</v>
      </c>
      <c r="C36" s="31" t="s">
        <v>2</v>
      </c>
      <c r="D36" s="31" t="s">
        <v>2</v>
      </c>
      <c r="E36" s="31" t="s">
        <v>67</v>
      </c>
      <c r="F36" s="31" t="s">
        <v>3</v>
      </c>
      <c r="G36" s="32" t="s">
        <v>3</v>
      </c>
      <c r="H36" s="65" t="s">
        <v>67</v>
      </c>
    </row>
    <row r="37" spans="1:8" x14ac:dyDescent="0.2">
      <c r="A37" s="40"/>
      <c r="B37" s="31" t="s">
        <v>7</v>
      </c>
      <c r="C37" s="31" t="s">
        <v>8</v>
      </c>
      <c r="D37" s="31" t="s">
        <v>8</v>
      </c>
      <c r="E37" s="31" t="s">
        <v>68</v>
      </c>
      <c r="F37" s="31" t="s">
        <v>69</v>
      </c>
      <c r="G37" s="32" t="s">
        <v>69</v>
      </c>
      <c r="H37" s="65" t="s">
        <v>68</v>
      </c>
    </row>
    <row r="38" spans="1:8" ht="15" thickBot="1" x14ac:dyDescent="0.25">
      <c r="A38" s="40" t="s">
        <v>12</v>
      </c>
      <c r="B38" s="31" t="s">
        <v>13</v>
      </c>
      <c r="C38" s="31" t="s">
        <v>14</v>
      </c>
      <c r="D38" s="31" t="s">
        <v>14</v>
      </c>
      <c r="E38" s="31" t="s">
        <v>70</v>
      </c>
      <c r="F38" s="31" t="s">
        <v>16</v>
      </c>
      <c r="G38" s="32" t="s">
        <v>16</v>
      </c>
      <c r="H38" s="65" t="s">
        <v>71</v>
      </c>
    </row>
    <row r="39" spans="1:8" ht="15" thickBot="1" x14ac:dyDescent="0.25">
      <c r="A39" s="42" t="s">
        <v>17</v>
      </c>
      <c r="B39" s="43">
        <f t="shared" ref="B39:H48" si="0">B7-B23</f>
        <v>2.7694476916469146E-4</v>
      </c>
      <c r="C39" s="43">
        <f t="shared" si="0"/>
        <v>5.2647950035830671E-5</v>
      </c>
      <c r="D39" s="43">
        <f t="shared" si="0"/>
        <v>2.9860576787738013E-4</v>
      </c>
      <c r="E39" s="43">
        <f t="shared" si="0"/>
        <v>-5.4439379025771496E-4</v>
      </c>
      <c r="F39" s="44">
        <f t="shared" si="0"/>
        <v>-4.0786005738383535E-3</v>
      </c>
      <c r="G39" s="44">
        <f t="shared" si="0"/>
        <v>-1.1496227125320502E-3</v>
      </c>
      <c r="H39" s="71">
        <f t="shared" si="0"/>
        <v>2.9289778613063033E-3</v>
      </c>
    </row>
    <row r="40" spans="1:8" x14ac:dyDescent="0.2">
      <c r="A40" s="40" t="s">
        <v>18</v>
      </c>
      <c r="B40" s="36">
        <f t="shared" si="0"/>
        <v>-7.8610786390882759E-5</v>
      </c>
      <c r="C40" s="36">
        <f t="shared" si="0"/>
        <v>2.9791657128271087E-4</v>
      </c>
      <c r="D40" s="36">
        <f t="shared" si="0"/>
        <v>2.3137547439544548E-4</v>
      </c>
      <c r="E40" s="36">
        <f t="shared" si="0"/>
        <v>-4.9655699070011439E-4</v>
      </c>
      <c r="F40" s="37">
        <f t="shared" si="0"/>
        <v>3.6830127351042408E-3</v>
      </c>
      <c r="G40" s="37">
        <f t="shared" si="0"/>
        <v>-4.0302420439876363E-3</v>
      </c>
      <c r="H40" s="72">
        <f t="shared" si="0"/>
        <v>2.2867452209081179E-3</v>
      </c>
    </row>
    <row r="41" spans="1:8" x14ac:dyDescent="0.2">
      <c r="A41" s="40" t="s">
        <v>19</v>
      </c>
      <c r="B41" s="31">
        <f t="shared" si="0"/>
        <v>-7.8610786390903575E-5</v>
      </c>
      <c r="C41" s="31">
        <f t="shared" si="0"/>
        <v>1.2671994456917024E-4</v>
      </c>
      <c r="D41" s="31">
        <f t="shared" si="0"/>
        <v>2.0681398724332889E-4</v>
      </c>
      <c r="E41" s="31">
        <f t="shared" si="0"/>
        <v>7.8241987782834421E-5</v>
      </c>
      <c r="F41" s="32">
        <f t="shared" si="0"/>
        <v>2.7664721739119047E-3</v>
      </c>
      <c r="G41" s="32">
        <f t="shared" si="0"/>
        <v>-2.3761954232768279E-3</v>
      </c>
      <c r="H41" s="73">
        <f t="shared" si="0"/>
        <v>4.8573324028112347E-3</v>
      </c>
    </row>
    <row r="42" spans="1:8" x14ac:dyDescent="0.2">
      <c r="A42" s="40" t="s">
        <v>20</v>
      </c>
      <c r="B42" s="31">
        <f t="shared" si="0"/>
        <v>2.1768550990543256E-4</v>
      </c>
      <c r="C42" s="31">
        <f t="shared" si="0"/>
        <v>3.8983727525099265E-4</v>
      </c>
      <c r="D42" s="31">
        <f t="shared" si="0"/>
        <v>-5.3432093599115049E-4</v>
      </c>
      <c r="E42" s="31">
        <f t="shared" si="0"/>
        <v>4.5335028842824476E-5</v>
      </c>
      <c r="F42" s="32">
        <f t="shared" si="0"/>
        <v>-1.5630517308792835E-3</v>
      </c>
      <c r="G42" s="32">
        <f t="shared" si="0"/>
        <v>-4.547805168315211E-3</v>
      </c>
      <c r="H42" s="73">
        <f t="shared" si="0"/>
        <v>-2.9847534374359448E-3</v>
      </c>
    </row>
    <row r="43" spans="1:8" x14ac:dyDescent="0.2">
      <c r="A43" s="40" t="s">
        <v>21</v>
      </c>
      <c r="B43" s="31">
        <f t="shared" si="0"/>
        <v>2.3250032472021953E-4</v>
      </c>
      <c r="C43" s="31">
        <f t="shared" si="0"/>
        <v>3.4522448726211075E-5</v>
      </c>
      <c r="D43" s="31">
        <f t="shared" si="0"/>
        <v>-2.5309149043171303E-4</v>
      </c>
      <c r="E43" s="31">
        <f t="shared" si="0"/>
        <v>-2.5222874392207134E-3</v>
      </c>
      <c r="F43" s="32">
        <f t="shared" si="0"/>
        <v>-1.310406295803257E-3</v>
      </c>
      <c r="G43" s="32">
        <f t="shared" si="0"/>
        <v>1.1183195614230534E-3</v>
      </c>
      <c r="H43" s="73">
        <f t="shared" si="0"/>
        <v>2.4287258572263104E-3</v>
      </c>
    </row>
    <row r="44" spans="1:8" x14ac:dyDescent="0.2">
      <c r="A44" s="40" t="s">
        <v>22</v>
      </c>
      <c r="B44" s="31">
        <f t="shared" si="0"/>
        <v>2.028706950905762E-4</v>
      </c>
      <c r="C44" s="31">
        <f t="shared" si="0"/>
        <v>-5.8994994105554532E-5</v>
      </c>
      <c r="D44" s="31">
        <f t="shared" si="0"/>
        <v>-2.9403890426721313E-4</v>
      </c>
      <c r="E44" s="31">
        <f t="shared" si="0"/>
        <v>-2.3269043636809233E-3</v>
      </c>
      <c r="F44" s="32">
        <f t="shared" si="0"/>
        <v>1.7150216345495073E-3</v>
      </c>
      <c r="G44" s="32">
        <f t="shared" si="0"/>
        <v>-3.1564780814158366E-3</v>
      </c>
      <c r="H44" s="73">
        <f t="shared" si="0"/>
        <v>5.1285002840346372E-3</v>
      </c>
    </row>
    <row r="45" spans="1:8" x14ac:dyDescent="0.2">
      <c r="A45" s="40" t="s">
        <v>23</v>
      </c>
      <c r="B45" s="31">
        <f t="shared" si="0"/>
        <v>-7.1203378983496213E-5</v>
      </c>
      <c r="C45" s="31">
        <f t="shared" si="0"/>
        <v>1.0587067740236433E-5</v>
      </c>
      <c r="D45" s="31">
        <f t="shared" si="0"/>
        <v>-3.0654868594354179E-4</v>
      </c>
      <c r="E45" s="31">
        <f t="shared" si="0"/>
        <v>-3.8511639377120099E-4</v>
      </c>
      <c r="F45" s="32">
        <f t="shared" si="0"/>
        <v>-1.7807400484630698E-3</v>
      </c>
      <c r="G45" s="32">
        <f t="shared" si="0"/>
        <v>-4.3777140110246027E-4</v>
      </c>
      <c r="H45" s="73">
        <f t="shared" si="0"/>
        <v>1.3429686473606095E-3</v>
      </c>
    </row>
    <row r="46" spans="1:8" x14ac:dyDescent="0.2">
      <c r="A46" s="40" t="s">
        <v>24</v>
      </c>
      <c r="B46" s="31">
        <f t="shared" si="0"/>
        <v>-2.4898115676127985E-4</v>
      </c>
      <c r="C46" s="31">
        <f t="shared" si="0"/>
        <v>-3.8746537660083735E-4</v>
      </c>
      <c r="D46" s="31">
        <f t="shared" si="0"/>
        <v>-1.1816812046747116E-4</v>
      </c>
      <c r="E46" s="31">
        <f t="shared" si="0"/>
        <v>-1.3489865321087628E-4</v>
      </c>
      <c r="F46" s="32">
        <f t="shared" si="0"/>
        <v>-8.8402420167893458E-4</v>
      </c>
      <c r="G46" s="32">
        <f t="shared" si="0"/>
        <v>-1.4153919095743484E-3</v>
      </c>
      <c r="H46" s="73">
        <f t="shared" si="0"/>
        <v>-5.3136770789539989E-4</v>
      </c>
    </row>
    <row r="47" spans="1:8" x14ac:dyDescent="0.2">
      <c r="A47" s="40" t="s">
        <v>25</v>
      </c>
      <c r="B47" s="31">
        <f t="shared" si="0"/>
        <v>-3.7490708268719634E-4</v>
      </c>
      <c r="C47" s="31">
        <f t="shared" si="0"/>
        <v>9.0646451154946517E-5</v>
      </c>
      <c r="D47" s="31">
        <f t="shared" si="0"/>
        <v>-8.8842668341707065E-5</v>
      </c>
      <c r="E47" s="31">
        <f t="shared" si="0"/>
        <v>-1.5201081400229369E-3</v>
      </c>
      <c r="F47" s="32">
        <f t="shared" si="0"/>
        <v>-2.7087823386490583E-3</v>
      </c>
      <c r="G47" s="32">
        <f t="shared" si="0"/>
        <v>1.3109134599159633E-4</v>
      </c>
      <c r="H47" s="73">
        <f t="shared" si="0"/>
        <v>2.8398736846406702E-3</v>
      </c>
    </row>
    <row r="48" spans="1:8" ht="15" thickBot="1" x14ac:dyDescent="0.25">
      <c r="A48" s="67" t="s">
        <v>26</v>
      </c>
      <c r="B48" s="68">
        <f t="shared" si="0"/>
        <v>1.5101884323880099E-4</v>
      </c>
      <c r="C48" s="68">
        <f t="shared" si="0"/>
        <v>3.9747122991187767E-4</v>
      </c>
      <c r="D48" s="68">
        <f t="shared" si="0"/>
        <v>1.4458398248165527E-4</v>
      </c>
      <c r="E48" s="68">
        <f t="shared" si="0"/>
        <v>-7.5037811032313811E-4</v>
      </c>
      <c r="F48" s="69">
        <f t="shared" si="0"/>
        <v>-7.3819986390821768E-4</v>
      </c>
      <c r="G48" s="69">
        <f t="shared" si="0"/>
        <v>-2.4593406533039985E-3</v>
      </c>
      <c r="H48" s="74">
        <f t="shared" si="0"/>
        <v>-1.7211407893957635E-3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8936-EABB-9B4C-9C30-C79E52513D68}">
  <dimension ref="A1:N123"/>
  <sheetViews>
    <sheetView zoomScaleNormal="100" workbookViewId="0">
      <selection activeCell="J4" sqref="J4"/>
    </sheetView>
  </sheetViews>
  <sheetFormatPr baseColWidth="10" defaultColWidth="18.33203125" defaultRowHeight="15" x14ac:dyDescent="0.2"/>
  <cols>
    <col min="1" max="7" width="18.33203125" style="4"/>
    <col min="8" max="9" width="18.33203125" style="75"/>
    <col min="10" max="16384" width="18.33203125" style="4"/>
  </cols>
  <sheetData>
    <row r="1" spans="1:9" x14ac:dyDescent="0.2">
      <c r="A1" s="19" t="s">
        <v>129</v>
      </c>
      <c r="B1" s="19" t="s">
        <v>128</v>
      </c>
    </row>
    <row r="2" spans="1:9" ht="16" thickBot="1" x14ac:dyDescent="0.25">
      <c r="A2" s="19"/>
      <c r="C2" s="76"/>
    </row>
    <row r="3" spans="1:9" ht="16" thickBot="1" x14ac:dyDescent="0.25">
      <c r="A3" s="77" t="s">
        <v>1</v>
      </c>
      <c r="B3" s="232" t="s">
        <v>127</v>
      </c>
      <c r="C3" s="233"/>
      <c r="D3" s="233"/>
      <c r="E3" s="233"/>
      <c r="F3" s="233"/>
      <c r="G3" s="78"/>
      <c r="H3" s="232" t="s">
        <v>126</v>
      </c>
      <c r="I3" s="234"/>
    </row>
    <row r="4" spans="1:9" x14ac:dyDescent="0.2">
      <c r="A4" s="79"/>
      <c r="B4" s="80" t="s">
        <v>81</v>
      </c>
      <c r="C4" s="81" t="s">
        <v>125</v>
      </c>
      <c r="D4" s="81" t="s">
        <v>125</v>
      </c>
      <c r="E4" s="81" t="s">
        <v>125</v>
      </c>
      <c r="F4" s="81" t="s">
        <v>125</v>
      </c>
      <c r="G4" s="82" t="s">
        <v>79</v>
      </c>
      <c r="H4" s="80" t="s">
        <v>124</v>
      </c>
      <c r="I4" s="83" t="s">
        <v>123</v>
      </c>
    </row>
    <row r="5" spans="1:9" ht="17" thickBot="1" x14ac:dyDescent="0.25">
      <c r="A5" s="84" t="s">
        <v>12</v>
      </c>
      <c r="B5" s="85" t="s">
        <v>78</v>
      </c>
      <c r="C5" s="86" t="s">
        <v>122</v>
      </c>
      <c r="D5" s="86" t="s">
        <v>121</v>
      </c>
      <c r="E5" s="86" t="s">
        <v>120</v>
      </c>
      <c r="F5" s="86" t="s">
        <v>119</v>
      </c>
      <c r="G5" s="87" t="s">
        <v>140</v>
      </c>
      <c r="H5" s="88" t="s">
        <v>118</v>
      </c>
      <c r="I5" s="89" t="s">
        <v>118</v>
      </c>
    </row>
    <row r="6" spans="1:9" x14ac:dyDescent="0.2">
      <c r="A6" s="235" t="s">
        <v>17</v>
      </c>
      <c r="B6" s="90">
        <v>-4.4500000000000005E-2</v>
      </c>
      <c r="C6" s="91">
        <v>0.4</v>
      </c>
      <c r="D6" s="91">
        <v>0.12</v>
      </c>
      <c r="E6" s="91">
        <v>0.22</v>
      </c>
      <c r="F6" s="91">
        <v>0.1</v>
      </c>
      <c r="G6" s="237">
        <v>0.35299999999999998</v>
      </c>
      <c r="H6" s="80">
        <v>0.84</v>
      </c>
      <c r="I6" s="83">
        <v>0.44</v>
      </c>
    </row>
    <row r="7" spans="1:9" ht="16" thickBot="1" x14ac:dyDescent="0.25">
      <c r="A7" s="236"/>
      <c r="B7" s="92">
        <v>-1.1599999999999999</v>
      </c>
      <c r="C7" s="93">
        <v>6.21</v>
      </c>
      <c r="D7" s="93">
        <v>1.85</v>
      </c>
      <c r="E7" s="93">
        <v>3.37</v>
      </c>
      <c r="F7" s="93">
        <v>1.45</v>
      </c>
      <c r="G7" s="238"/>
      <c r="H7" s="94">
        <v>0</v>
      </c>
      <c r="I7" s="95">
        <v>1E-3</v>
      </c>
    </row>
    <row r="8" spans="1:9" x14ac:dyDescent="0.2">
      <c r="A8" s="235" t="s">
        <v>18</v>
      </c>
      <c r="B8" s="90">
        <v>-9.7999999999999997E-3</v>
      </c>
      <c r="C8" s="91">
        <v>0.08</v>
      </c>
      <c r="D8" s="91">
        <v>0.16</v>
      </c>
      <c r="E8" s="91">
        <v>0.13</v>
      </c>
      <c r="F8" s="91">
        <v>7.0000000000000007E-2</v>
      </c>
      <c r="G8" s="237">
        <v>0.23799999999999999</v>
      </c>
      <c r="H8" s="88">
        <v>0.43</v>
      </c>
      <c r="I8" s="89">
        <v>0.35</v>
      </c>
    </row>
    <row r="9" spans="1:9" ht="16" thickBot="1" x14ac:dyDescent="0.25">
      <c r="A9" s="236"/>
      <c r="B9" s="92">
        <v>-0.46</v>
      </c>
      <c r="C9" s="93">
        <v>2.16</v>
      </c>
      <c r="D9" s="93">
        <v>4.3099999999999996</v>
      </c>
      <c r="E9" s="93">
        <v>3.46</v>
      </c>
      <c r="F9" s="93">
        <v>1.82</v>
      </c>
      <c r="G9" s="238"/>
      <c r="H9" s="94">
        <v>0</v>
      </c>
      <c r="I9" s="95">
        <v>0</v>
      </c>
    </row>
    <row r="10" spans="1:9" x14ac:dyDescent="0.2">
      <c r="A10" s="235" t="s">
        <v>19</v>
      </c>
      <c r="B10" s="90">
        <v>-2.12E-2</v>
      </c>
      <c r="C10" s="91">
        <v>0.31</v>
      </c>
      <c r="D10" s="91">
        <v>0.18</v>
      </c>
      <c r="E10" s="91">
        <v>0.08</v>
      </c>
      <c r="F10" s="91">
        <v>0.05</v>
      </c>
      <c r="G10" s="237">
        <v>0.47</v>
      </c>
      <c r="H10" s="80">
        <v>0.61</v>
      </c>
      <c r="I10" s="83">
        <v>0.3</v>
      </c>
    </row>
    <row r="11" spans="1:9" ht="16" thickBot="1" x14ac:dyDescent="0.25">
      <c r="A11" s="236"/>
      <c r="B11" s="92">
        <v>-0.91</v>
      </c>
      <c r="C11" s="93">
        <v>8.0399999999999991</v>
      </c>
      <c r="D11" s="93">
        <v>4.3899999999999997</v>
      </c>
      <c r="E11" s="93">
        <v>1.89</v>
      </c>
      <c r="F11" s="93">
        <v>1.19</v>
      </c>
      <c r="G11" s="238"/>
      <c r="H11" s="94">
        <v>0</v>
      </c>
      <c r="I11" s="95">
        <v>0</v>
      </c>
    </row>
    <row r="12" spans="1:9" x14ac:dyDescent="0.2">
      <c r="A12" s="235" t="s">
        <v>20</v>
      </c>
      <c r="B12" s="90">
        <v>3.3599999999999998E-2</v>
      </c>
      <c r="C12" s="91">
        <v>0.13</v>
      </c>
      <c r="D12" s="91">
        <v>0.05</v>
      </c>
      <c r="E12" s="91">
        <v>0.01</v>
      </c>
      <c r="F12" s="91">
        <v>0.02</v>
      </c>
      <c r="G12" s="237">
        <v>0.23400000000000001</v>
      </c>
      <c r="H12" s="88">
        <v>0.2</v>
      </c>
      <c r="I12" s="89">
        <v>0.08</v>
      </c>
    </row>
    <row r="13" spans="1:9" ht="16" thickBot="1" x14ac:dyDescent="0.25">
      <c r="A13" s="236"/>
      <c r="B13" s="92">
        <v>2.3199999999999998</v>
      </c>
      <c r="C13" s="93">
        <v>5.18</v>
      </c>
      <c r="D13" s="93">
        <v>1.95</v>
      </c>
      <c r="E13" s="93">
        <v>0.39</v>
      </c>
      <c r="F13" s="93">
        <v>0.84</v>
      </c>
      <c r="G13" s="238"/>
      <c r="H13" s="96">
        <v>1E-3</v>
      </c>
      <c r="I13" s="97">
        <v>0.108</v>
      </c>
    </row>
    <row r="14" spans="1:9" x14ac:dyDescent="0.2">
      <c r="A14" s="235" t="s">
        <v>21</v>
      </c>
      <c r="B14" s="90">
        <v>-3.78E-2</v>
      </c>
      <c r="C14" s="91">
        <v>0.05</v>
      </c>
      <c r="D14" s="91">
        <v>0.1</v>
      </c>
      <c r="E14" s="91">
        <v>0.15</v>
      </c>
      <c r="F14" s="91">
        <v>0.06</v>
      </c>
      <c r="G14" s="237">
        <v>0.252</v>
      </c>
      <c r="H14" s="80">
        <v>0.36</v>
      </c>
      <c r="I14" s="83">
        <v>0.31</v>
      </c>
    </row>
    <row r="15" spans="1:9" ht="16" thickBot="1" x14ac:dyDescent="0.25">
      <c r="A15" s="236"/>
      <c r="B15" s="92">
        <v>-2.08</v>
      </c>
      <c r="C15" s="93">
        <v>1.61</v>
      </c>
      <c r="D15" s="93">
        <v>3.23</v>
      </c>
      <c r="E15" s="93">
        <v>4.84</v>
      </c>
      <c r="F15" s="93">
        <v>1.83</v>
      </c>
      <c r="G15" s="238"/>
      <c r="H15" s="94">
        <v>0</v>
      </c>
      <c r="I15" s="95">
        <v>0</v>
      </c>
    </row>
    <row r="16" spans="1:9" x14ac:dyDescent="0.2">
      <c r="A16" s="235" t="s">
        <v>22</v>
      </c>
      <c r="B16" s="90">
        <v>-2.8300000000000002E-2</v>
      </c>
      <c r="C16" s="91">
        <v>0.56999999999999995</v>
      </c>
      <c r="D16" s="91">
        <v>0.1</v>
      </c>
      <c r="E16" s="91">
        <v>0.18</v>
      </c>
      <c r="F16" s="91">
        <v>0.14000000000000001</v>
      </c>
      <c r="G16" s="237">
        <v>0.40899999999999997</v>
      </c>
      <c r="H16" s="88">
        <v>0.99</v>
      </c>
      <c r="I16" s="89">
        <v>0.42</v>
      </c>
    </row>
    <row r="17" spans="1:9" ht="16" thickBot="1" x14ac:dyDescent="0.25">
      <c r="A17" s="236"/>
      <c r="B17" s="92">
        <v>-0.61</v>
      </c>
      <c r="C17" s="93">
        <v>7.39</v>
      </c>
      <c r="D17" s="93">
        <v>1.25</v>
      </c>
      <c r="E17" s="93">
        <v>2.2400000000000002</v>
      </c>
      <c r="F17" s="93">
        <v>1.76</v>
      </c>
      <c r="G17" s="238"/>
      <c r="H17" s="96">
        <v>0</v>
      </c>
      <c r="I17" s="97">
        <v>8.9999999999999993E-3</v>
      </c>
    </row>
    <row r="18" spans="1:9" x14ac:dyDescent="0.2">
      <c r="A18" s="235" t="s">
        <v>23</v>
      </c>
      <c r="B18" s="90">
        <v>-0.16200000000000001</v>
      </c>
      <c r="C18" s="91">
        <v>0.79</v>
      </c>
      <c r="D18" s="91">
        <v>0.3</v>
      </c>
      <c r="E18" s="91">
        <v>0.1</v>
      </c>
      <c r="F18" s="91">
        <v>0.06</v>
      </c>
      <c r="G18" s="237">
        <v>0.253</v>
      </c>
      <c r="H18" s="80">
        <v>1.25</v>
      </c>
      <c r="I18" s="83">
        <v>0.46</v>
      </c>
    </row>
    <row r="19" spans="1:9" ht="16" thickBot="1" x14ac:dyDescent="0.25">
      <c r="A19" s="236"/>
      <c r="B19" s="92">
        <v>-1.88</v>
      </c>
      <c r="C19" s="93">
        <v>5.47</v>
      </c>
      <c r="D19" s="93">
        <v>2.02</v>
      </c>
      <c r="E19" s="93">
        <v>0.68</v>
      </c>
      <c r="F19" s="93">
        <v>0.39</v>
      </c>
      <c r="G19" s="238"/>
      <c r="H19" s="94">
        <v>0</v>
      </c>
      <c r="I19" s="95">
        <v>0.11799999999999999</v>
      </c>
    </row>
    <row r="20" spans="1:9" x14ac:dyDescent="0.2">
      <c r="A20" s="235" t="s">
        <v>24</v>
      </c>
      <c r="B20" s="90">
        <v>-6.6400000000000001E-2</v>
      </c>
      <c r="C20" s="91">
        <v>0.41</v>
      </c>
      <c r="D20" s="91">
        <v>0.12</v>
      </c>
      <c r="E20" s="91">
        <v>0.37</v>
      </c>
      <c r="F20" s="91">
        <v>0.09</v>
      </c>
      <c r="G20" s="237">
        <v>0.21099999999999999</v>
      </c>
      <c r="H20" s="88">
        <v>0.98</v>
      </c>
      <c r="I20" s="89">
        <v>0.56999999999999995</v>
      </c>
    </row>
    <row r="21" spans="1:9" ht="16" thickBot="1" x14ac:dyDescent="0.25">
      <c r="A21" s="236"/>
      <c r="B21" s="92">
        <v>-1.08</v>
      </c>
      <c r="C21" s="93">
        <v>3.94</v>
      </c>
      <c r="D21" s="93">
        <v>1.1200000000000001</v>
      </c>
      <c r="E21" s="93">
        <v>3.45</v>
      </c>
      <c r="F21" s="93">
        <v>0.83</v>
      </c>
      <c r="G21" s="238"/>
      <c r="H21" s="96">
        <v>0</v>
      </c>
      <c r="I21" s="97">
        <v>7.0000000000000001E-3</v>
      </c>
    </row>
    <row r="22" spans="1:9" x14ac:dyDescent="0.2">
      <c r="A22" s="235" t="s">
        <v>25</v>
      </c>
      <c r="B22" s="90">
        <v>1.72E-2</v>
      </c>
      <c r="C22" s="91">
        <v>-0.01</v>
      </c>
      <c r="D22" s="91">
        <v>-0.15</v>
      </c>
      <c r="E22" s="91">
        <v>-0.01</v>
      </c>
      <c r="F22" s="91">
        <v>-0.02</v>
      </c>
      <c r="G22" s="237">
        <v>-1.9E-2</v>
      </c>
      <c r="H22" s="80">
        <v>-0.19</v>
      </c>
      <c r="I22" s="83">
        <v>-0.17</v>
      </c>
    </row>
    <row r="23" spans="1:9" ht="16" thickBot="1" x14ac:dyDescent="0.25">
      <c r="A23" s="236"/>
      <c r="B23" s="92">
        <v>0.32</v>
      </c>
      <c r="C23" s="93">
        <v>-0.15</v>
      </c>
      <c r="D23" s="93">
        <v>-1.58</v>
      </c>
      <c r="E23" s="93">
        <v>-0.1</v>
      </c>
      <c r="F23" s="93">
        <v>-0.19</v>
      </c>
      <c r="G23" s="238"/>
      <c r="H23" s="94">
        <v>0.38300000000000001</v>
      </c>
      <c r="I23" s="95">
        <v>0.34100000000000003</v>
      </c>
    </row>
    <row r="24" spans="1:9" x14ac:dyDescent="0.2">
      <c r="A24" s="235" t="s">
        <v>26</v>
      </c>
      <c r="B24" s="90">
        <v>0.1159</v>
      </c>
      <c r="C24" s="91">
        <v>-1.01</v>
      </c>
      <c r="D24" s="91">
        <v>-0.15</v>
      </c>
      <c r="E24" s="91">
        <v>0.02</v>
      </c>
      <c r="F24" s="91">
        <v>-0.13</v>
      </c>
      <c r="G24" s="237">
        <v>0.57499999999999996</v>
      </c>
      <c r="H24" s="88">
        <v>-1.27</v>
      </c>
      <c r="I24" s="89">
        <v>-0.25</v>
      </c>
    </row>
    <row r="25" spans="1:9" ht="16" thickBot="1" x14ac:dyDescent="0.25">
      <c r="A25" s="236"/>
      <c r="B25" s="92">
        <v>2</v>
      </c>
      <c r="C25" s="93">
        <v>-10.45</v>
      </c>
      <c r="D25" s="93">
        <v>-1.51</v>
      </c>
      <c r="E25" s="93">
        <v>0.22</v>
      </c>
      <c r="F25" s="93">
        <v>-1.26</v>
      </c>
      <c r="G25" s="238"/>
      <c r="H25" s="94">
        <v>0</v>
      </c>
      <c r="I25" s="95">
        <v>0.19700000000000001</v>
      </c>
    </row>
    <row r="26" spans="1:9" ht="16" thickBot="1" x14ac:dyDescent="0.25">
      <c r="A26" s="98" t="s">
        <v>27</v>
      </c>
      <c r="B26" s="229" t="s">
        <v>127</v>
      </c>
      <c r="C26" s="230"/>
      <c r="D26" s="230"/>
      <c r="E26" s="230"/>
      <c r="F26" s="230"/>
      <c r="G26" s="99"/>
      <c r="H26" s="229" t="s">
        <v>126</v>
      </c>
      <c r="I26" s="231"/>
    </row>
    <row r="27" spans="1:9" x14ac:dyDescent="0.2">
      <c r="A27" s="100"/>
      <c r="B27" s="101" t="s">
        <v>81</v>
      </c>
      <c r="C27" s="102" t="s">
        <v>125</v>
      </c>
      <c r="D27" s="102" t="s">
        <v>125</v>
      </c>
      <c r="E27" s="102" t="s">
        <v>125</v>
      </c>
      <c r="F27" s="102" t="s">
        <v>125</v>
      </c>
      <c r="G27" s="103" t="s">
        <v>79</v>
      </c>
      <c r="H27" s="101" t="s">
        <v>124</v>
      </c>
      <c r="I27" s="104" t="s">
        <v>123</v>
      </c>
    </row>
    <row r="28" spans="1:9" ht="17" thickBot="1" x14ac:dyDescent="0.25">
      <c r="A28" s="105" t="s">
        <v>12</v>
      </c>
      <c r="B28" s="106" t="s">
        <v>78</v>
      </c>
      <c r="C28" s="107" t="s">
        <v>122</v>
      </c>
      <c r="D28" s="107" t="s">
        <v>121</v>
      </c>
      <c r="E28" s="107" t="s">
        <v>120</v>
      </c>
      <c r="F28" s="107" t="s">
        <v>119</v>
      </c>
      <c r="G28" s="108" t="s">
        <v>141</v>
      </c>
      <c r="H28" s="109" t="s">
        <v>118</v>
      </c>
      <c r="I28" s="110" t="s">
        <v>118</v>
      </c>
    </row>
    <row r="29" spans="1:9" x14ac:dyDescent="0.2">
      <c r="A29" s="224" t="s">
        <v>17</v>
      </c>
      <c r="B29" s="111">
        <v>-4.4850357957670249E-2</v>
      </c>
      <c r="C29" s="112">
        <v>0.40046045684788578</v>
      </c>
      <c r="D29" s="112">
        <v>0.12280457092374099</v>
      </c>
      <c r="E29" s="112">
        <v>0.22350892288065372</v>
      </c>
      <c r="F29" s="112">
        <v>9.7599066561922118E-2</v>
      </c>
      <c r="G29" s="226">
        <v>0.35423538887414296</v>
      </c>
      <c r="H29" s="113">
        <f>C29+D29+E29+F29</f>
        <v>0.84437301721420255</v>
      </c>
      <c r="I29" s="114">
        <f>D29+E29+F29</f>
        <v>0.44391256036631682</v>
      </c>
    </row>
    <row r="30" spans="1:9" ht="16" thickBot="1" x14ac:dyDescent="0.25">
      <c r="A30" s="225"/>
      <c r="B30" s="115">
        <v>-1.1675589321869664</v>
      </c>
      <c r="C30" s="116">
        <v>6.2218956769556151</v>
      </c>
      <c r="D30" s="116">
        <v>1.8478855419937834</v>
      </c>
      <c r="E30" s="116">
        <v>3.3652645499737974</v>
      </c>
      <c r="F30" s="116">
        <v>1.4787800838135061</v>
      </c>
      <c r="G30" s="227"/>
      <c r="H30" s="117"/>
      <c r="I30" s="118"/>
    </row>
    <row r="31" spans="1:9" x14ac:dyDescent="0.2">
      <c r="A31" s="224" t="s">
        <v>18</v>
      </c>
      <c r="B31" s="111">
        <v>-1.002446480100974E-2</v>
      </c>
      <c r="C31" s="112">
        <v>7.682384966280667E-2</v>
      </c>
      <c r="D31" s="112">
        <v>0.15773566972067515</v>
      </c>
      <c r="E31" s="112">
        <v>0.12646047820858022</v>
      </c>
      <c r="F31" s="112">
        <v>6.6410340224026282E-2</v>
      </c>
      <c r="G31" s="226">
        <v>0.23896510280898733</v>
      </c>
      <c r="H31" s="113">
        <f>C31+D31+E31+F31</f>
        <v>0.4274303378160883</v>
      </c>
      <c r="I31" s="114">
        <f>D31+E31+F31</f>
        <v>0.35060648815328166</v>
      </c>
    </row>
    <row r="32" spans="1:9" ht="16" thickBot="1" x14ac:dyDescent="0.25">
      <c r="A32" s="225"/>
      <c r="B32" s="115">
        <v>-0.47386476175469266</v>
      </c>
      <c r="C32" s="116">
        <v>2.1674020229566748</v>
      </c>
      <c r="D32" s="116">
        <v>4.3099355063692633</v>
      </c>
      <c r="E32" s="116">
        <v>3.4574784878675029</v>
      </c>
      <c r="F32" s="116">
        <v>1.8271489632614988</v>
      </c>
      <c r="G32" s="227"/>
      <c r="H32" s="117"/>
      <c r="I32" s="118"/>
    </row>
    <row r="33" spans="1:14" x14ac:dyDescent="0.2">
      <c r="A33" s="224" t="s">
        <v>19</v>
      </c>
      <c r="B33" s="111">
        <v>-2.1401172991307591E-2</v>
      </c>
      <c r="C33" s="112">
        <v>0.31357329535773748</v>
      </c>
      <c r="D33" s="112">
        <v>0.17700078115650947</v>
      </c>
      <c r="E33" s="112">
        <v>7.5988518690937007E-2</v>
      </c>
      <c r="F33" s="112">
        <v>4.8260496539829341E-2</v>
      </c>
      <c r="G33" s="226">
        <v>0.46993053414608543</v>
      </c>
      <c r="H33" s="113">
        <f>C33+D33+E33+F33</f>
        <v>0.61482309174501326</v>
      </c>
      <c r="I33" s="114">
        <f>D33+E33+F33</f>
        <v>0.30124979638727578</v>
      </c>
    </row>
    <row r="34" spans="1:14" ht="16" thickBot="1" x14ac:dyDescent="0.25">
      <c r="A34" s="225"/>
      <c r="B34" s="115">
        <v>-0.91905154336697226</v>
      </c>
      <c r="C34" s="116">
        <v>8.0369552580482342</v>
      </c>
      <c r="D34" s="116">
        <v>4.3936465066215762</v>
      </c>
      <c r="E34" s="116">
        <v>1.8873902950062733</v>
      </c>
      <c r="F34" s="116">
        <v>1.2062549506608637</v>
      </c>
      <c r="G34" s="227"/>
      <c r="H34" s="117"/>
      <c r="I34" s="118"/>
    </row>
    <row r="35" spans="1:14" x14ac:dyDescent="0.2">
      <c r="A35" s="224" t="s">
        <v>20</v>
      </c>
      <c r="B35" s="111">
        <v>3.321094936179516E-2</v>
      </c>
      <c r="C35" s="112">
        <v>0.12572381584430989</v>
      </c>
      <c r="D35" s="112">
        <v>4.9212508552962636E-2</v>
      </c>
      <c r="E35" s="112">
        <v>9.8661787622751421E-3</v>
      </c>
      <c r="F35" s="112">
        <v>2.1128040745135745E-2</v>
      </c>
      <c r="G35" s="226">
        <v>0.23471401475643003</v>
      </c>
      <c r="H35" s="113">
        <f>C35+D35+E35+F35</f>
        <v>0.20593054390468341</v>
      </c>
      <c r="I35" s="114">
        <f>D35+E35+F35</f>
        <v>8.0206728060373517E-2</v>
      </c>
    </row>
    <row r="36" spans="1:14" ht="16" thickBot="1" x14ac:dyDescent="0.25">
      <c r="A36" s="225"/>
      <c r="B36" s="115">
        <v>2.2934383989129881</v>
      </c>
      <c r="C36" s="116">
        <v>5.1817151163791246</v>
      </c>
      <c r="D36" s="116">
        <v>1.9643955010728658</v>
      </c>
      <c r="E36" s="116">
        <v>0.39406350612910074</v>
      </c>
      <c r="F36" s="116">
        <v>0.84920011941810059</v>
      </c>
      <c r="G36" s="227"/>
      <c r="H36" s="119"/>
      <c r="I36" s="120"/>
    </row>
    <row r="37" spans="1:14" x14ac:dyDescent="0.2">
      <c r="A37" s="224" t="s">
        <v>21</v>
      </c>
      <c r="B37" s="111">
        <v>-3.795913254720186E-2</v>
      </c>
      <c r="C37" s="112">
        <v>4.9361749476435728E-2</v>
      </c>
      <c r="D37" s="112">
        <v>0.10126038784783566</v>
      </c>
      <c r="E37" s="112">
        <v>0.15227153948160488</v>
      </c>
      <c r="F37" s="112">
        <v>5.7487094888272257E-2</v>
      </c>
      <c r="G37" s="226">
        <v>0.25354886890263623</v>
      </c>
      <c r="H37" s="113">
        <f>C37+D37+E37+F37</f>
        <v>0.36038077169414851</v>
      </c>
      <c r="I37" s="114">
        <f>D37+E37+F37</f>
        <v>0.31101902221771277</v>
      </c>
    </row>
    <row r="38" spans="1:14" ht="16" thickBot="1" x14ac:dyDescent="0.25">
      <c r="A38" s="225"/>
      <c r="B38" s="115">
        <v>-2.0894169072840212</v>
      </c>
      <c r="C38" s="116">
        <v>1.6216217411528926</v>
      </c>
      <c r="D38" s="116">
        <v>3.221781254178842</v>
      </c>
      <c r="E38" s="116">
        <v>4.8477365691045513</v>
      </c>
      <c r="F38" s="116">
        <v>1.841722607474374</v>
      </c>
      <c r="G38" s="227"/>
      <c r="H38" s="117"/>
      <c r="I38" s="118"/>
    </row>
    <row r="39" spans="1:14" x14ac:dyDescent="0.2">
      <c r="A39" s="224" t="s">
        <v>22</v>
      </c>
      <c r="B39" s="111">
        <v>-2.8675390342875029E-2</v>
      </c>
      <c r="C39" s="112">
        <v>0.57421434194683063</v>
      </c>
      <c r="D39" s="112">
        <v>9.9583695967354363E-2</v>
      </c>
      <c r="E39" s="112">
        <v>0.17925016964731572</v>
      </c>
      <c r="F39" s="112">
        <v>0.14166481577838805</v>
      </c>
      <c r="G39" s="226">
        <v>0.41012555390849903</v>
      </c>
      <c r="H39" s="113">
        <f>C39+D39+E39+F39</f>
        <v>0.99471302333988876</v>
      </c>
      <c r="I39" s="114">
        <f>D39+E39+F39</f>
        <v>0.42049868139305813</v>
      </c>
    </row>
    <row r="40" spans="1:14" ht="16" thickBot="1" x14ac:dyDescent="0.25">
      <c r="A40" s="225"/>
      <c r="B40" s="115">
        <v>-0.61926568760889622</v>
      </c>
      <c r="C40" s="116">
        <v>7.4010255532824161</v>
      </c>
      <c r="D40" s="116">
        <v>1.2430928196004942</v>
      </c>
      <c r="E40" s="116">
        <v>2.2389206504479504</v>
      </c>
      <c r="F40" s="116">
        <v>1.7806342048251376</v>
      </c>
      <c r="G40" s="227"/>
      <c r="H40" s="119"/>
      <c r="I40" s="120"/>
      <c r="M40" s="121"/>
      <c r="N40" s="121"/>
    </row>
    <row r="41" spans="1:14" x14ac:dyDescent="0.2">
      <c r="A41" s="224" t="s">
        <v>23</v>
      </c>
      <c r="B41" s="111">
        <v>-0.16166852227945516</v>
      </c>
      <c r="C41" s="112">
        <v>0.78833798945629019</v>
      </c>
      <c r="D41" s="112">
        <v>0.2991732182085251</v>
      </c>
      <c r="E41" s="112">
        <v>9.9602982331745443E-2</v>
      </c>
      <c r="F41" s="112">
        <v>5.9804345029797069E-2</v>
      </c>
      <c r="G41" s="226">
        <v>0.25359324247942222</v>
      </c>
      <c r="H41" s="113">
        <f>C41+D41+E41+F41</f>
        <v>1.2469185350263579</v>
      </c>
      <c r="I41" s="114">
        <f>D41+E41+F41</f>
        <v>0.45858054557006761</v>
      </c>
    </row>
    <row r="42" spans="1:14" ht="16" thickBot="1" x14ac:dyDescent="0.25">
      <c r="A42" s="225"/>
      <c r="B42" s="115">
        <v>-1.8811254917580553</v>
      </c>
      <c r="C42" s="116">
        <v>5.4746321671660514</v>
      </c>
      <c r="D42" s="116">
        <v>2.0121606497722446</v>
      </c>
      <c r="E42" s="116">
        <v>0.67031060476252946</v>
      </c>
      <c r="F42" s="116">
        <v>0.40501403218096199</v>
      </c>
      <c r="G42" s="227"/>
      <c r="H42" s="117"/>
      <c r="I42" s="118"/>
    </row>
    <row r="43" spans="1:14" x14ac:dyDescent="0.2">
      <c r="A43" s="224" t="s">
        <v>24</v>
      </c>
      <c r="B43" s="111">
        <v>-6.6679096021588335E-2</v>
      </c>
      <c r="C43" s="112">
        <v>0.40561836290204356</v>
      </c>
      <c r="D43" s="112">
        <v>0.11795836235199905</v>
      </c>
      <c r="E43" s="112">
        <v>0.36528788229892251</v>
      </c>
      <c r="F43" s="112">
        <v>8.9413557885729314E-2</v>
      </c>
      <c r="G43" s="226">
        <v>0.21177153742433655</v>
      </c>
      <c r="H43" s="113">
        <f>C43+D43+E43+F43</f>
        <v>0.9782781654386945</v>
      </c>
      <c r="I43" s="114">
        <f>D43+E43+F43</f>
        <v>0.57265980253665094</v>
      </c>
    </row>
    <row r="44" spans="1:14" ht="16" thickBot="1" x14ac:dyDescent="0.25">
      <c r="A44" s="225"/>
      <c r="B44" s="115">
        <v>-1.0875656058453622</v>
      </c>
      <c r="C44" s="116">
        <v>3.9485128752540741</v>
      </c>
      <c r="D44" s="116">
        <v>1.1120956297445173</v>
      </c>
      <c r="E44" s="116">
        <v>3.445977795431169</v>
      </c>
      <c r="F44" s="116">
        <v>0.84881719601427041</v>
      </c>
      <c r="G44" s="227"/>
      <c r="H44" s="119"/>
      <c r="I44" s="120"/>
    </row>
    <row r="45" spans="1:14" x14ac:dyDescent="0.2">
      <c r="A45" s="224" t="s">
        <v>25</v>
      </c>
      <c r="B45" s="111">
        <v>1.694430384675755E-2</v>
      </c>
      <c r="C45" s="112">
        <v>-1.3585385349679624E-2</v>
      </c>
      <c r="D45" s="112">
        <v>-0.14502472624489166</v>
      </c>
      <c r="E45" s="112">
        <v>-9.6582505714696357E-3</v>
      </c>
      <c r="F45" s="112">
        <v>-1.7473660304449225E-2</v>
      </c>
      <c r="G45" s="226">
        <v>-1.9232667578772553E-2</v>
      </c>
      <c r="H45" s="113">
        <f>C45+D45+E45+F45</f>
        <v>-0.18574202247049013</v>
      </c>
      <c r="I45" s="114">
        <f>D45+E45+F45</f>
        <v>-0.1721566371208105</v>
      </c>
    </row>
    <row r="46" spans="1:14" ht="16" thickBot="1" x14ac:dyDescent="0.25">
      <c r="A46" s="225"/>
      <c r="B46" s="115">
        <v>0.31640271371680395</v>
      </c>
      <c r="C46" s="116">
        <v>-0.15140444311235715</v>
      </c>
      <c r="D46" s="116">
        <v>-1.5653309121623253</v>
      </c>
      <c r="E46" s="116">
        <v>-0.10431010567654224</v>
      </c>
      <c r="F46" s="116">
        <v>-0.18990893107415321</v>
      </c>
      <c r="G46" s="227"/>
      <c r="H46" s="117"/>
      <c r="I46" s="118"/>
    </row>
    <row r="47" spans="1:14" x14ac:dyDescent="0.2">
      <c r="A47" s="224" t="s">
        <v>26</v>
      </c>
      <c r="B47" s="111">
        <v>0.11545619483006724</v>
      </c>
      <c r="C47" s="112">
        <v>-1.0148616824432748</v>
      </c>
      <c r="D47" s="112">
        <v>-0.14869369180046599</v>
      </c>
      <c r="E47" s="112">
        <v>2.3271697010660064E-2</v>
      </c>
      <c r="F47" s="112">
        <v>-0.12702988926341666</v>
      </c>
      <c r="G47" s="226">
        <v>0.57604133254512402</v>
      </c>
      <c r="H47" s="113">
        <f>C47+D47+E47+F47</f>
        <v>-1.2673135664964974</v>
      </c>
      <c r="I47" s="114">
        <f>D47+E47+F47</f>
        <v>-0.25245188405322261</v>
      </c>
    </row>
    <row r="48" spans="1:14" ht="16" thickBot="1" x14ac:dyDescent="0.25">
      <c r="A48" s="225"/>
      <c r="B48" s="115">
        <v>1.9975281220919245</v>
      </c>
      <c r="C48" s="116">
        <v>-10.479310460498423</v>
      </c>
      <c r="D48" s="116">
        <v>-1.4870166965275624</v>
      </c>
      <c r="E48" s="116">
        <v>0.23287086907478144</v>
      </c>
      <c r="F48" s="116">
        <v>-1.2791651337923811</v>
      </c>
      <c r="G48" s="227"/>
      <c r="H48" s="117"/>
      <c r="I48" s="118"/>
    </row>
    <row r="49" spans="1:9" ht="16" thickBot="1" x14ac:dyDescent="0.25">
      <c r="A49" s="122" t="s">
        <v>28</v>
      </c>
      <c r="B49" s="222" t="s">
        <v>127</v>
      </c>
      <c r="C49" s="228"/>
      <c r="D49" s="228"/>
      <c r="E49" s="228"/>
      <c r="F49" s="228"/>
      <c r="G49" s="123"/>
      <c r="H49" s="222" t="s">
        <v>126</v>
      </c>
      <c r="I49" s="223"/>
    </row>
    <row r="50" spans="1:9" x14ac:dyDescent="0.2">
      <c r="A50" s="124"/>
      <c r="B50" s="125" t="s">
        <v>81</v>
      </c>
      <c r="C50" s="126" t="s">
        <v>125</v>
      </c>
      <c r="D50" s="126" t="s">
        <v>125</v>
      </c>
      <c r="E50" s="126" t="s">
        <v>125</v>
      </c>
      <c r="F50" s="126" t="s">
        <v>125</v>
      </c>
      <c r="G50" s="127" t="s">
        <v>79</v>
      </c>
      <c r="H50" s="125" t="s">
        <v>124</v>
      </c>
      <c r="I50" s="128" t="s">
        <v>123</v>
      </c>
    </row>
    <row r="51" spans="1:9" ht="17" thickBot="1" x14ac:dyDescent="0.25">
      <c r="A51" s="129" t="s">
        <v>12</v>
      </c>
      <c r="B51" s="130" t="s">
        <v>78</v>
      </c>
      <c r="C51" s="131" t="s">
        <v>122</v>
      </c>
      <c r="D51" s="131" t="s">
        <v>121</v>
      </c>
      <c r="E51" s="131" t="s">
        <v>120</v>
      </c>
      <c r="F51" s="131" t="s">
        <v>119</v>
      </c>
      <c r="G51" s="132" t="s">
        <v>142</v>
      </c>
      <c r="H51" s="133" t="s">
        <v>118</v>
      </c>
      <c r="I51" s="134" t="s">
        <v>118</v>
      </c>
    </row>
    <row r="52" spans="1:9" x14ac:dyDescent="0.2">
      <c r="A52" s="218" t="s">
        <v>17</v>
      </c>
      <c r="B52" s="135">
        <f t="shared" ref="B52:I61" si="0">B29-B6</f>
        <v>-3.5035795767024425E-4</v>
      </c>
      <c r="C52" s="136">
        <f t="shared" si="0"/>
        <v>4.6045684788575958E-4</v>
      </c>
      <c r="D52" s="136">
        <f t="shared" si="0"/>
        <v>2.8045709237409927E-3</v>
      </c>
      <c r="E52" s="136">
        <f t="shared" si="0"/>
        <v>3.5089228806537143E-3</v>
      </c>
      <c r="F52" s="136">
        <f t="shared" si="0"/>
        <v>-2.4009334380778874E-3</v>
      </c>
      <c r="G52" s="220">
        <f t="shared" si="0"/>
        <v>1.2353888741429842E-3</v>
      </c>
      <c r="H52" s="137">
        <f t="shared" si="0"/>
        <v>4.3730172142025792E-3</v>
      </c>
      <c r="I52" s="138">
        <f t="shared" si="0"/>
        <v>3.9125603663168196E-3</v>
      </c>
    </row>
    <row r="53" spans="1:9" ht="16" thickBot="1" x14ac:dyDescent="0.25">
      <c r="A53" s="219"/>
      <c r="B53" s="139">
        <f t="shared" si="0"/>
        <v>-7.5589321869664605E-3</v>
      </c>
      <c r="C53" s="140">
        <f t="shared" si="0"/>
        <v>1.1895676955615109E-2</v>
      </c>
      <c r="D53" s="140">
        <f t="shared" si="0"/>
        <v>-2.1144580062166796E-3</v>
      </c>
      <c r="E53" s="140">
        <f t="shared" si="0"/>
        <v>-4.7354500262026811E-3</v>
      </c>
      <c r="F53" s="140">
        <f t="shared" si="0"/>
        <v>2.8780083813506163E-2</v>
      </c>
      <c r="G53" s="221">
        <f t="shared" si="0"/>
        <v>0</v>
      </c>
      <c r="H53" s="141">
        <f t="shared" si="0"/>
        <v>0</v>
      </c>
      <c r="I53" s="142">
        <f t="shared" si="0"/>
        <v>-1E-3</v>
      </c>
    </row>
    <row r="54" spans="1:9" x14ac:dyDescent="0.2">
      <c r="A54" s="218" t="s">
        <v>18</v>
      </c>
      <c r="B54" s="135">
        <f t="shared" si="0"/>
        <v>-2.2446480100974005E-4</v>
      </c>
      <c r="C54" s="136">
        <f t="shared" si="0"/>
        <v>-3.1761503371933314E-3</v>
      </c>
      <c r="D54" s="136">
        <f t="shared" si="0"/>
        <v>-2.2643302793248499E-3</v>
      </c>
      <c r="E54" s="136">
        <f t="shared" si="0"/>
        <v>-3.5395217914197807E-3</v>
      </c>
      <c r="F54" s="136">
        <f t="shared" si="0"/>
        <v>-3.5896597759737248E-3</v>
      </c>
      <c r="G54" s="220">
        <f t="shared" si="0"/>
        <v>9.651028089873448E-4</v>
      </c>
      <c r="H54" s="143">
        <f t="shared" si="0"/>
        <v>-2.5696621839116918E-3</v>
      </c>
      <c r="I54" s="144">
        <f t="shared" si="0"/>
        <v>6.0648815328168126E-4</v>
      </c>
    </row>
    <row r="55" spans="1:9" ht="16" thickBot="1" x14ac:dyDescent="0.25">
      <c r="A55" s="219"/>
      <c r="B55" s="139">
        <f t="shared" si="0"/>
        <v>-1.3864761754692645E-2</v>
      </c>
      <c r="C55" s="140">
        <f t="shared" si="0"/>
        <v>7.402022956674692E-3</v>
      </c>
      <c r="D55" s="140">
        <f t="shared" si="0"/>
        <v>-6.4493630736350838E-5</v>
      </c>
      <c r="E55" s="140">
        <f t="shared" si="0"/>
        <v>-2.5215121324970724E-3</v>
      </c>
      <c r="F55" s="140">
        <f t="shared" si="0"/>
        <v>7.1489632614987197E-3</v>
      </c>
      <c r="G55" s="221">
        <f t="shared" si="0"/>
        <v>0</v>
      </c>
      <c r="H55" s="141">
        <f t="shared" si="0"/>
        <v>0</v>
      </c>
      <c r="I55" s="142">
        <f t="shared" si="0"/>
        <v>0</v>
      </c>
    </row>
    <row r="56" spans="1:9" x14ac:dyDescent="0.2">
      <c r="A56" s="218" t="s">
        <v>19</v>
      </c>
      <c r="B56" s="135">
        <f t="shared" si="0"/>
        <v>-2.0117299130759103E-4</v>
      </c>
      <c r="C56" s="136">
        <f t="shared" si="0"/>
        <v>3.5732953577374826E-3</v>
      </c>
      <c r="D56" s="136">
        <f t="shared" si="0"/>
        <v>-2.9992188434905254E-3</v>
      </c>
      <c r="E56" s="136">
        <f t="shared" si="0"/>
        <v>-4.0114813090629947E-3</v>
      </c>
      <c r="F56" s="136">
        <f t="shared" si="0"/>
        <v>-1.7395034601706619E-3</v>
      </c>
      <c r="G56" s="220">
        <f t="shared" si="0"/>
        <v>-6.9465853914540965E-5</v>
      </c>
      <c r="H56" s="137">
        <f t="shared" si="0"/>
        <v>4.8230917450132749E-3</v>
      </c>
      <c r="I56" s="138">
        <f t="shared" si="0"/>
        <v>1.2497963872757922E-3</v>
      </c>
    </row>
    <row r="57" spans="1:9" ht="16" thickBot="1" x14ac:dyDescent="0.25">
      <c r="A57" s="219"/>
      <c r="B57" s="139">
        <f t="shared" si="0"/>
        <v>-9.0515433669722256E-3</v>
      </c>
      <c r="C57" s="140">
        <f t="shared" si="0"/>
        <v>-3.0447419517649621E-3</v>
      </c>
      <c r="D57" s="140">
        <f t="shared" si="0"/>
        <v>3.6465066215765063E-3</v>
      </c>
      <c r="E57" s="140">
        <f t="shared" si="0"/>
        <v>-2.6097049937265915E-3</v>
      </c>
      <c r="F57" s="140">
        <f t="shared" si="0"/>
        <v>1.6254950660863798E-2</v>
      </c>
      <c r="G57" s="221">
        <f t="shared" si="0"/>
        <v>0</v>
      </c>
      <c r="H57" s="141">
        <f t="shared" si="0"/>
        <v>0</v>
      </c>
      <c r="I57" s="142">
        <f t="shared" si="0"/>
        <v>0</v>
      </c>
    </row>
    <row r="58" spans="1:9" x14ac:dyDescent="0.2">
      <c r="A58" s="218" t="s">
        <v>20</v>
      </c>
      <c r="B58" s="135">
        <f t="shared" si="0"/>
        <v>-3.890506382048381E-4</v>
      </c>
      <c r="C58" s="136">
        <f t="shared" si="0"/>
        <v>-4.2761841556901159E-3</v>
      </c>
      <c r="D58" s="136">
        <f t="shared" si="0"/>
        <v>-7.8749144703736673E-4</v>
      </c>
      <c r="E58" s="136">
        <f t="shared" si="0"/>
        <v>-1.3382123772485814E-4</v>
      </c>
      <c r="F58" s="136">
        <f t="shared" si="0"/>
        <v>1.1280407451357451E-3</v>
      </c>
      <c r="G58" s="220">
        <f t="shared" si="0"/>
        <v>7.1401475643001477E-4</v>
      </c>
      <c r="H58" s="143">
        <f t="shared" si="0"/>
        <v>5.9305439046833941E-3</v>
      </c>
      <c r="I58" s="144">
        <f t="shared" si="0"/>
        <v>2.0672806037351499E-4</v>
      </c>
    </row>
    <row r="59" spans="1:9" ht="16" thickBot="1" x14ac:dyDescent="0.25">
      <c r="A59" s="219"/>
      <c r="B59" s="139">
        <f t="shared" si="0"/>
        <v>-2.6561601087011777E-2</v>
      </c>
      <c r="C59" s="140">
        <f t="shared" si="0"/>
        <v>1.7151163791249147E-3</v>
      </c>
      <c r="D59" s="140">
        <f t="shared" si="0"/>
        <v>1.4395501072865802E-2</v>
      </c>
      <c r="E59" s="140">
        <f t="shared" si="0"/>
        <v>4.0635061291007246E-3</v>
      </c>
      <c r="F59" s="140">
        <f t="shared" si="0"/>
        <v>9.2001194181006163E-3</v>
      </c>
      <c r="G59" s="221">
        <f t="shared" si="0"/>
        <v>0</v>
      </c>
      <c r="H59" s="145">
        <f t="shared" si="0"/>
        <v>-1E-3</v>
      </c>
      <c r="I59" s="146">
        <f t="shared" si="0"/>
        <v>-0.108</v>
      </c>
    </row>
    <row r="60" spans="1:9" x14ac:dyDescent="0.2">
      <c r="A60" s="218" t="s">
        <v>21</v>
      </c>
      <c r="B60" s="135">
        <f t="shared" si="0"/>
        <v>-1.5913254720185954E-4</v>
      </c>
      <c r="C60" s="136">
        <f t="shared" si="0"/>
        <v>-6.382505235642752E-4</v>
      </c>
      <c r="D60" s="136">
        <f t="shared" si="0"/>
        <v>1.2603878478356506E-3</v>
      </c>
      <c r="E60" s="136">
        <f t="shared" si="0"/>
        <v>2.2715394816048839E-3</v>
      </c>
      <c r="F60" s="136">
        <f t="shared" si="0"/>
        <v>-2.5129051117277409E-3</v>
      </c>
      <c r="G60" s="220">
        <f t="shared" si="0"/>
        <v>1.5488689026362246E-3</v>
      </c>
      <c r="H60" s="137">
        <f t="shared" si="0"/>
        <v>3.8077169414851841E-4</v>
      </c>
      <c r="I60" s="138">
        <f t="shared" si="0"/>
        <v>1.0190222177127728E-3</v>
      </c>
    </row>
    <row r="61" spans="1:9" ht="16" thickBot="1" x14ac:dyDescent="0.25">
      <c r="A61" s="219"/>
      <c r="B61" s="139">
        <f t="shared" si="0"/>
        <v>-9.4169072840211143E-3</v>
      </c>
      <c r="C61" s="140">
        <f t="shared" si="0"/>
        <v>1.1621741152892495E-2</v>
      </c>
      <c r="D61" s="140">
        <f t="shared" si="0"/>
        <v>-8.2187458211580022E-3</v>
      </c>
      <c r="E61" s="140">
        <f t="shared" si="0"/>
        <v>7.7365691045514495E-3</v>
      </c>
      <c r="F61" s="140">
        <f t="shared" si="0"/>
        <v>1.1722607474373925E-2</v>
      </c>
      <c r="G61" s="221">
        <f t="shared" si="0"/>
        <v>0</v>
      </c>
      <c r="H61" s="141">
        <f t="shared" si="0"/>
        <v>0</v>
      </c>
      <c r="I61" s="142">
        <f t="shared" si="0"/>
        <v>0</v>
      </c>
    </row>
    <row r="62" spans="1:9" x14ac:dyDescent="0.2">
      <c r="A62" s="218" t="s">
        <v>22</v>
      </c>
      <c r="B62" s="135">
        <f t="shared" ref="B62:I71" si="1">B39-B16</f>
        <v>-3.7539034287502673E-4</v>
      </c>
      <c r="C62" s="136">
        <f t="shared" si="1"/>
        <v>4.2143419468306798E-3</v>
      </c>
      <c r="D62" s="136">
        <f t="shared" si="1"/>
        <v>-4.1630403264564242E-4</v>
      </c>
      <c r="E62" s="136">
        <f t="shared" si="1"/>
        <v>-7.4983035268427756E-4</v>
      </c>
      <c r="F62" s="136">
        <f t="shared" si="1"/>
        <v>1.6648157783880346E-3</v>
      </c>
      <c r="G62" s="220">
        <f t="shared" si="1"/>
        <v>1.1255539084990551E-3</v>
      </c>
      <c r="H62" s="143">
        <f t="shared" si="1"/>
        <v>4.7130233398887666E-3</v>
      </c>
      <c r="I62" s="144">
        <f t="shared" si="1"/>
        <v>4.9868139305814241E-4</v>
      </c>
    </row>
    <row r="63" spans="1:9" ht="16" thickBot="1" x14ac:dyDescent="0.25">
      <c r="A63" s="219"/>
      <c r="B63" s="139">
        <f t="shared" si="1"/>
        <v>-9.2656876088962337E-3</v>
      </c>
      <c r="C63" s="140">
        <f t="shared" si="1"/>
        <v>1.1025553282416389E-2</v>
      </c>
      <c r="D63" s="140">
        <f t="shared" si="1"/>
        <v>-6.9071803995057746E-3</v>
      </c>
      <c r="E63" s="140">
        <f t="shared" si="1"/>
        <v>-1.079349552049802E-3</v>
      </c>
      <c r="F63" s="140">
        <f t="shared" si="1"/>
        <v>2.0634204825137559E-2</v>
      </c>
      <c r="G63" s="221">
        <f t="shared" si="1"/>
        <v>0</v>
      </c>
      <c r="H63" s="145">
        <f t="shared" si="1"/>
        <v>0</v>
      </c>
      <c r="I63" s="146">
        <f t="shared" si="1"/>
        <v>-8.9999999999999993E-3</v>
      </c>
    </row>
    <row r="64" spans="1:9" x14ac:dyDescent="0.2">
      <c r="A64" s="218" t="s">
        <v>23</v>
      </c>
      <c r="B64" s="135">
        <f t="shared" si="1"/>
        <v>3.314777205448427E-4</v>
      </c>
      <c r="C64" s="136">
        <f t="shared" si="1"/>
        <v>-1.6620105437098465E-3</v>
      </c>
      <c r="D64" s="136">
        <f t="shared" si="1"/>
        <v>-8.2678179147488429E-4</v>
      </c>
      <c r="E64" s="136">
        <f t="shared" si="1"/>
        <v>-3.9701766825456231E-4</v>
      </c>
      <c r="F64" s="136">
        <f t="shared" si="1"/>
        <v>-1.9565497020292838E-4</v>
      </c>
      <c r="G64" s="220">
        <f t="shared" si="1"/>
        <v>5.9324247942221797E-4</v>
      </c>
      <c r="H64" s="137">
        <f t="shared" si="1"/>
        <v>-3.0814649736421451E-3</v>
      </c>
      <c r="I64" s="138">
        <f t="shared" si="1"/>
        <v>-1.4194544299324097E-3</v>
      </c>
    </row>
    <row r="65" spans="1:9" ht="16" thickBot="1" x14ac:dyDescent="0.25">
      <c r="A65" s="219"/>
      <c r="B65" s="139">
        <f t="shared" si="1"/>
        <v>-1.1254917580554302E-3</v>
      </c>
      <c r="C65" s="140">
        <f t="shared" si="1"/>
        <v>4.6321671660516373E-3</v>
      </c>
      <c r="D65" s="140">
        <f t="shared" si="1"/>
        <v>-7.8393502277553928E-3</v>
      </c>
      <c r="E65" s="140">
        <f t="shared" si="1"/>
        <v>-9.6893952374705883E-3</v>
      </c>
      <c r="F65" s="140">
        <f t="shared" si="1"/>
        <v>1.5014032180961978E-2</v>
      </c>
      <c r="G65" s="221">
        <f t="shared" si="1"/>
        <v>0</v>
      </c>
      <c r="H65" s="141">
        <f t="shared" si="1"/>
        <v>0</v>
      </c>
      <c r="I65" s="142">
        <f t="shared" si="1"/>
        <v>-0.11799999999999999</v>
      </c>
    </row>
    <row r="66" spans="1:9" x14ac:dyDescent="0.2">
      <c r="A66" s="218" t="s">
        <v>24</v>
      </c>
      <c r="B66" s="135">
        <f t="shared" si="1"/>
        <v>-2.790960215883348E-4</v>
      </c>
      <c r="C66" s="136">
        <f t="shared" si="1"/>
        <v>-4.3816370979564145E-3</v>
      </c>
      <c r="D66" s="136">
        <f t="shared" si="1"/>
        <v>-2.0416376480009435E-3</v>
      </c>
      <c r="E66" s="136">
        <f t="shared" si="1"/>
        <v>-4.7121177010774895E-3</v>
      </c>
      <c r="F66" s="136">
        <f t="shared" si="1"/>
        <v>-5.8644211427068271E-4</v>
      </c>
      <c r="G66" s="220">
        <f t="shared" si="1"/>
        <v>7.715374243365547E-4</v>
      </c>
      <c r="H66" s="143">
        <f t="shared" si="1"/>
        <v>-1.7218345613054797E-3</v>
      </c>
      <c r="I66" s="144">
        <f t="shared" si="1"/>
        <v>2.6598025366509903E-3</v>
      </c>
    </row>
    <row r="67" spans="1:9" ht="16" thickBot="1" x14ac:dyDescent="0.25">
      <c r="A67" s="219"/>
      <c r="B67" s="139">
        <f t="shared" si="1"/>
        <v>-7.5656058453621444E-3</v>
      </c>
      <c r="C67" s="140">
        <f t="shared" si="1"/>
        <v>8.5128752540741814E-3</v>
      </c>
      <c r="D67" s="140">
        <f t="shared" si="1"/>
        <v>-7.904370255482851E-3</v>
      </c>
      <c r="E67" s="140">
        <f t="shared" si="1"/>
        <v>-4.0222045688311781E-3</v>
      </c>
      <c r="F67" s="140">
        <f t="shared" si="1"/>
        <v>1.8817196014270454E-2</v>
      </c>
      <c r="G67" s="221">
        <f t="shared" si="1"/>
        <v>0</v>
      </c>
      <c r="H67" s="145">
        <f t="shared" si="1"/>
        <v>0</v>
      </c>
      <c r="I67" s="146">
        <f t="shared" si="1"/>
        <v>-7.0000000000000001E-3</v>
      </c>
    </row>
    <row r="68" spans="1:9" x14ac:dyDescent="0.2">
      <c r="A68" s="218" t="s">
        <v>25</v>
      </c>
      <c r="B68" s="135">
        <f t="shared" si="1"/>
        <v>-2.5569615324244968E-4</v>
      </c>
      <c r="C68" s="136">
        <f t="shared" si="1"/>
        <v>-3.5853853496796238E-3</v>
      </c>
      <c r="D68" s="136">
        <f t="shared" si="1"/>
        <v>4.9752737551083392E-3</v>
      </c>
      <c r="E68" s="136">
        <f t="shared" si="1"/>
        <v>3.4174942853036454E-4</v>
      </c>
      <c r="F68" s="136">
        <f t="shared" si="1"/>
        <v>2.5263396955507757E-3</v>
      </c>
      <c r="G68" s="220">
        <f t="shared" si="1"/>
        <v>-2.3266757877255309E-4</v>
      </c>
      <c r="H68" s="137">
        <f t="shared" si="1"/>
        <v>4.2579775295098765E-3</v>
      </c>
      <c r="I68" s="138">
        <f t="shared" si="1"/>
        <v>-2.1566371208104895E-3</v>
      </c>
    </row>
    <row r="69" spans="1:9" ht="16" thickBot="1" x14ac:dyDescent="0.25">
      <c r="A69" s="219"/>
      <c r="B69" s="139">
        <f t="shared" si="1"/>
        <v>-3.597286283196055E-3</v>
      </c>
      <c r="C69" s="140">
        <f t="shared" si="1"/>
        <v>-1.4044431123571566E-3</v>
      </c>
      <c r="D69" s="140">
        <f t="shared" si="1"/>
        <v>1.4669087837674732E-2</v>
      </c>
      <c r="E69" s="140">
        <f t="shared" si="1"/>
        <v>-4.3101056765422335E-3</v>
      </c>
      <c r="F69" s="140">
        <f t="shared" si="1"/>
        <v>9.1068925846787829E-5</v>
      </c>
      <c r="G69" s="221">
        <f t="shared" si="1"/>
        <v>0</v>
      </c>
      <c r="H69" s="141">
        <f t="shared" si="1"/>
        <v>-0.38300000000000001</v>
      </c>
      <c r="I69" s="142">
        <f t="shared" si="1"/>
        <v>-0.34100000000000003</v>
      </c>
    </row>
    <row r="70" spans="1:9" x14ac:dyDescent="0.2">
      <c r="A70" s="218" t="s">
        <v>26</v>
      </c>
      <c r="B70" s="135">
        <f t="shared" si="1"/>
        <v>-4.4380516993276775E-4</v>
      </c>
      <c r="C70" s="136">
        <f t="shared" si="1"/>
        <v>-4.861682443274784E-3</v>
      </c>
      <c r="D70" s="136">
        <f t="shared" si="1"/>
        <v>1.3063081995340065E-3</v>
      </c>
      <c r="E70" s="136">
        <f t="shared" si="1"/>
        <v>3.2716970106600636E-3</v>
      </c>
      <c r="F70" s="136">
        <f t="shared" si="1"/>
        <v>2.9701107365833479E-3</v>
      </c>
      <c r="G70" s="220">
        <f t="shared" si="1"/>
        <v>1.0413325451240629E-3</v>
      </c>
      <c r="H70" s="143">
        <f t="shared" si="1"/>
        <v>2.6864335035026166E-3</v>
      </c>
      <c r="I70" s="144">
        <f t="shared" si="1"/>
        <v>-2.4518840532226083E-3</v>
      </c>
    </row>
    <row r="71" spans="1:9" ht="16" thickBot="1" x14ac:dyDescent="0.25">
      <c r="A71" s="219"/>
      <c r="B71" s="143">
        <f t="shared" si="1"/>
        <v>-2.4718779080754594E-3</v>
      </c>
      <c r="C71" s="140">
        <f t="shared" si="1"/>
        <v>-2.9310460498424007E-2</v>
      </c>
      <c r="D71" s="140">
        <f t="shared" si="1"/>
        <v>2.29833034724376E-2</v>
      </c>
      <c r="E71" s="140">
        <f t="shared" si="1"/>
        <v>1.2870869074781438E-2</v>
      </c>
      <c r="F71" s="201">
        <f t="shared" si="1"/>
        <v>-1.9165133792381051E-2</v>
      </c>
      <c r="G71" s="221">
        <f t="shared" si="1"/>
        <v>0</v>
      </c>
      <c r="H71" s="145">
        <f t="shared" si="1"/>
        <v>0</v>
      </c>
      <c r="I71" s="146">
        <f t="shared" si="1"/>
        <v>-0.19700000000000001</v>
      </c>
    </row>
    <row r="72" spans="1:9" x14ac:dyDescent="0.2">
      <c r="B72" s="136"/>
      <c r="C72" s="147"/>
      <c r="D72" s="147"/>
      <c r="E72" s="147"/>
      <c r="F72" s="147"/>
      <c r="G72" s="148"/>
      <c r="H72" s="202"/>
      <c r="I72" s="202"/>
    </row>
    <row r="73" spans="1:9" x14ac:dyDescent="0.2">
      <c r="A73" s="19"/>
      <c r="B73" s="19"/>
      <c r="C73" s="147"/>
      <c r="D73" s="147"/>
      <c r="E73" s="147"/>
      <c r="F73" s="147"/>
      <c r="G73" s="148"/>
      <c r="H73" s="149"/>
      <c r="I73" s="149"/>
    </row>
    <row r="74" spans="1:9" x14ac:dyDescent="0.2">
      <c r="B74" s="147"/>
      <c r="C74" s="147"/>
      <c r="D74" s="147"/>
      <c r="E74" s="147"/>
      <c r="F74" s="147"/>
      <c r="G74" s="148"/>
      <c r="H74" s="149"/>
      <c r="I74" s="149"/>
    </row>
    <row r="75" spans="1:9" x14ac:dyDescent="0.2">
      <c r="A75" s="150"/>
      <c r="B75" s="217"/>
      <c r="C75" s="217"/>
      <c r="D75" s="217"/>
      <c r="E75" s="217"/>
      <c r="F75" s="217"/>
      <c r="G75" s="151"/>
      <c r="H75" s="217"/>
      <c r="I75" s="217"/>
    </row>
    <row r="76" spans="1:9" x14ac:dyDescent="0.2">
      <c r="A76" s="152"/>
      <c r="B76" s="151"/>
      <c r="C76" s="151"/>
      <c r="D76" s="151"/>
      <c r="E76" s="151"/>
      <c r="F76" s="151"/>
      <c r="G76" s="151"/>
      <c r="H76" s="151"/>
      <c r="I76" s="151"/>
    </row>
    <row r="77" spans="1:9" x14ac:dyDescent="0.2">
      <c r="A77" s="152"/>
      <c r="B77" s="151"/>
      <c r="C77" s="151"/>
      <c r="D77" s="151"/>
      <c r="E77" s="151"/>
      <c r="F77" s="151"/>
      <c r="G77" s="151"/>
      <c r="H77" s="151"/>
      <c r="I77" s="151"/>
    </row>
    <row r="78" spans="1:9" x14ac:dyDescent="0.2">
      <c r="A78" s="216"/>
      <c r="B78" s="153"/>
      <c r="C78" s="153"/>
      <c r="D78" s="153"/>
      <c r="E78" s="153"/>
      <c r="F78" s="153"/>
      <c r="G78" s="214"/>
      <c r="H78" s="151"/>
      <c r="I78" s="151"/>
    </row>
    <row r="79" spans="1:9" x14ac:dyDescent="0.2">
      <c r="A79" s="216"/>
      <c r="B79" s="153"/>
      <c r="C79" s="153"/>
      <c r="D79" s="153"/>
      <c r="E79" s="153"/>
      <c r="F79" s="153"/>
      <c r="G79" s="214"/>
      <c r="H79" s="154"/>
      <c r="I79" s="154"/>
    </row>
    <row r="80" spans="1:9" x14ac:dyDescent="0.2">
      <c r="A80" s="216"/>
      <c r="B80" s="153"/>
      <c r="C80" s="153"/>
      <c r="D80" s="153"/>
      <c r="E80" s="153"/>
      <c r="F80" s="153"/>
      <c r="G80" s="214"/>
      <c r="H80" s="151"/>
      <c r="I80" s="151"/>
    </row>
    <row r="81" spans="1:9" x14ac:dyDescent="0.2">
      <c r="A81" s="216"/>
      <c r="B81" s="153"/>
      <c r="C81" s="153"/>
      <c r="D81" s="153"/>
      <c r="E81" s="153"/>
      <c r="F81" s="153"/>
      <c r="G81" s="214"/>
      <c r="H81" s="154"/>
      <c r="I81" s="154"/>
    </row>
    <row r="82" spans="1:9" x14ac:dyDescent="0.2">
      <c r="A82" s="216"/>
      <c r="B82" s="153"/>
      <c r="C82" s="153"/>
      <c r="D82" s="153"/>
      <c r="E82" s="153"/>
      <c r="F82" s="153"/>
      <c r="G82" s="214"/>
      <c r="H82" s="151"/>
      <c r="I82" s="151"/>
    </row>
    <row r="83" spans="1:9" x14ac:dyDescent="0.2">
      <c r="A83" s="216"/>
      <c r="B83" s="153"/>
      <c r="C83" s="153"/>
      <c r="D83" s="153"/>
      <c r="E83" s="153"/>
      <c r="F83" s="153"/>
      <c r="G83" s="214"/>
      <c r="H83" s="154"/>
      <c r="I83" s="154"/>
    </row>
    <row r="84" spans="1:9" x14ac:dyDescent="0.2">
      <c r="A84" s="216"/>
      <c r="B84" s="153"/>
      <c r="C84" s="153"/>
      <c r="D84" s="153"/>
      <c r="E84" s="153"/>
      <c r="F84" s="153"/>
      <c r="G84" s="214"/>
      <c r="H84" s="151"/>
      <c r="I84" s="151"/>
    </row>
    <row r="85" spans="1:9" x14ac:dyDescent="0.2">
      <c r="A85" s="216"/>
      <c r="B85" s="153"/>
      <c r="C85" s="153"/>
      <c r="D85" s="153"/>
      <c r="E85" s="153"/>
      <c r="F85" s="153"/>
      <c r="G85" s="214"/>
      <c r="H85" s="154"/>
      <c r="I85" s="154"/>
    </row>
    <row r="86" spans="1:9" x14ac:dyDescent="0.2">
      <c r="A86" s="216"/>
      <c r="B86" s="153"/>
      <c r="C86" s="153"/>
      <c r="D86" s="153"/>
      <c r="E86" s="153"/>
      <c r="F86" s="153"/>
      <c r="G86" s="214"/>
      <c r="H86" s="151"/>
      <c r="I86" s="151"/>
    </row>
    <row r="87" spans="1:9" x14ac:dyDescent="0.2">
      <c r="A87" s="216"/>
      <c r="B87" s="153"/>
      <c r="C87" s="153"/>
      <c r="D87" s="153"/>
      <c r="E87" s="153"/>
      <c r="F87" s="153"/>
      <c r="G87" s="214"/>
      <c r="H87" s="154"/>
      <c r="I87" s="154"/>
    </row>
    <row r="88" spans="1:9" x14ac:dyDescent="0.2">
      <c r="A88" s="216"/>
      <c r="B88" s="153"/>
      <c r="C88" s="153"/>
      <c r="D88" s="153"/>
      <c r="E88" s="153"/>
      <c r="F88" s="153"/>
      <c r="G88" s="214"/>
      <c r="H88" s="151"/>
      <c r="I88" s="151"/>
    </row>
    <row r="89" spans="1:9" x14ac:dyDescent="0.2">
      <c r="A89" s="216"/>
      <c r="B89" s="153"/>
      <c r="C89" s="153"/>
      <c r="D89" s="153"/>
      <c r="E89" s="153"/>
      <c r="F89" s="153"/>
      <c r="G89" s="214"/>
      <c r="H89" s="154"/>
      <c r="I89" s="154"/>
    </row>
    <row r="90" spans="1:9" x14ac:dyDescent="0.2">
      <c r="A90" s="216"/>
      <c r="B90" s="153"/>
      <c r="C90" s="153"/>
      <c r="D90" s="153"/>
      <c r="E90" s="153"/>
      <c r="F90" s="153"/>
      <c r="G90" s="214"/>
      <c r="H90" s="151"/>
      <c r="I90" s="151"/>
    </row>
    <row r="91" spans="1:9" x14ac:dyDescent="0.2">
      <c r="A91" s="216"/>
      <c r="B91" s="153"/>
      <c r="C91" s="153"/>
      <c r="D91" s="153"/>
      <c r="E91" s="153"/>
      <c r="F91" s="153"/>
      <c r="G91" s="214"/>
      <c r="H91" s="154"/>
      <c r="I91" s="154"/>
    </row>
    <row r="92" spans="1:9" x14ac:dyDescent="0.2">
      <c r="A92" s="216"/>
      <c r="B92" s="153"/>
      <c r="C92" s="153"/>
      <c r="D92" s="153"/>
      <c r="E92" s="153"/>
      <c r="F92" s="153"/>
      <c r="G92" s="214"/>
      <c r="H92" s="151"/>
      <c r="I92" s="151"/>
    </row>
    <row r="93" spans="1:9" x14ac:dyDescent="0.2">
      <c r="A93" s="216"/>
      <c r="B93" s="153"/>
      <c r="C93" s="153"/>
      <c r="D93" s="153"/>
      <c r="E93" s="153"/>
      <c r="F93" s="153"/>
      <c r="G93" s="214"/>
      <c r="H93" s="154"/>
      <c r="I93" s="154"/>
    </row>
    <row r="94" spans="1:9" x14ac:dyDescent="0.2">
      <c r="A94" s="216"/>
      <c r="B94" s="153"/>
      <c r="C94" s="153"/>
      <c r="D94" s="153"/>
      <c r="E94" s="153"/>
      <c r="F94" s="153"/>
      <c r="G94" s="214"/>
      <c r="H94" s="151"/>
      <c r="I94" s="151"/>
    </row>
    <row r="95" spans="1:9" x14ac:dyDescent="0.2">
      <c r="A95" s="216"/>
      <c r="B95" s="153"/>
      <c r="C95" s="153"/>
      <c r="D95" s="153"/>
      <c r="E95" s="153"/>
      <c r="F95" s="153"/>
      <c r="G95" s="214"/>
      <c r="H95" s="154"/>
      <c r="I95" s="154"/>
    </row>
    <row r="96" spans="1:9" x14ac:dyDescent="0.2">
      <c r="A96" s="216"/>
      <c r="B96" s="153"/>
      <c r="C96" s="153"/>
      <c r="D96" s="153"/>
      <c r="E96" s="153"/>
      <c r="F96" s="153"/>
      <c r="G96" s="214"/>
      <c r="H96" s="151"/>
      <c r="I96" s="151"/>
    </row>
    <row r="97" spans="1:9" x14ac:dyDescent="0.2">
      <c r="A97" s="216"/>
      <c r="B97" s="153"/>
      <c r="C97" s="153"/>
      <c r="D97" s="153"/>
      <c r="E97" s="153"/>
      <c r="F97" s="153"/>
      <c r="G97" s="214"/>
      <c r="H97" s="154"/>
      <c r="I97" s="154"/>
    </row>
    <row r="98" spans="1:9" x14ac:dyDescent="0.2">
      <c r="A98" s="19"/>
      <c r="B98" s="215"/>
      <c r="C98" s="215"/>
      <c r="D98" s="215"/>
      <c r="E98" s="215"/>
      <c r="F98" s="215"/>
      <c r="G98" s="155"/>
      <c r="H98" s="215"/>
      <c r="I98" s="215"/>
    </row>
    <row r="99" spans="1:9" x14ac:dyDescent="0.2">
      <c r="A99" s="22"/>
      <c r="B99" s="155"/>
      <c r="C99" s="155"/>
      <c r="D99" s="155"/>
      <c r="E99" s="155"/>
      <c r="F99" s="155"/>
      <c r="G99" s="155"/>
      <c r="H99" s="155"/>
      <c r="I99" s="155"/>
    </row>
    <row r="100" spans="1:9" x14ac:dyDescent="0.2">
      <c r="A100" s="22"/>
      <c r="B100" s="155"/>
      <c r="C100" s="155"/>
      <c r="D100" s="155"/>
      <c r="E100" s="155"/>
      <c r="F100" s="155"/>
      <c r="G100" s="155"/>
      <c r="H100" s="155"/>
      <c r="I100" s="155"/>
    </row>
    <row r="101" spans="1:9" x14ac:dyDescent="0.2">
      <c r="A101" s="212"/>
      <c r="B101" s="156"/>
      <c r="C101" s="156"/>
      <c r="D101" s="156"/>
      <c r="E101" s="156"/>
      <c r="F101" s="156"/>
      <c r="G101" s="213"/>
      <c r="H101" s="155"/>
      <c r="I101" s="155"/>
    </row>
    <row r="102" spans="1:9" x14ac:dyDescent="0.2">
      <c r="A102" s="212"/>
      <c r="B102" s="156"/>
      <c r="C102" s="156"/>
      <c r="D102" s="156"/>
      <c r="E102" s="156"/>
      <c r="F102" s="156"/>
      <c r="G102" s="213"/>
      <c r="H102" s="157"/>
      <c r="I102" s="157"/>
    </row>
    <row r="103" spans="1:9" x14ac:dyDescent="0.2">
      <c r="A103" s="212"/>
      <c r="B103" s="156"/>
      <c r="C103" s="156"/>
      <c r="D103" s="156"/>
      <c r="E103" s="156"/>
      <c r="F103" s="156"/>
      <c r="G103" s="213"/>
      <c r="H103" s="155"/>
      <c r="I103" s="155"/>
    </row>
    <row r="104" spans="1:9" x14ac:dyDescent="0.2">
      <c r="A104" s="212"/>
      <c r="B104" s="156"/>
      <c r="C104" s="156"/>
      <c r="D104" s="156"/>
      <c r="E104" s="156"/>
      <c r="F104" s="156"/>
      <c r="G104" s="213"/>
      <c r="H104" s="157"/>
      <c r="I104" s="157"/>
    </row>
    <row r="105" spans="1:9" x14ac:dyDescent="0.2">
      <c r="A105" s="212"/>
      <c r="B105" s="156"/>
      <c r="C105" s="156"/>
      <c r="D105" s="156"/>
      <c r="E105" s="156"/>
      <c r="F105" s="156"/>
      <c r="G105" s="213"/>
      <c r="H105" s="155"/>
      <c r="I105" s="155"/>
    </row>
    <row r="106" spans="1:9" x14ac:dyDescent="0.2">
      <c r="A106" s="212"/>
      <c r="B106" s="156"/>
      <c r="C106" s="156"/>
      <c r="D106" s="156"/>
      <c r="E106" s="156"/>
      <c r="F106" s="156"/>
      <c r="G106" s="213"/>
      <c r="H106" s="157"/>
      <c r="I106" s="157"/>
    </row>
    <row r="107" spans="1:9" x14ac:dyDescent="0.2">
      <c r="A107" s="212"/>
      <c r="B107" s="156"/>
      <c r="C107" s="156"/>
      <c r="D107" s="156"/>
      <c r="E107" s="156"/>
      <c r="F107" s="156"/>
      <c r="G107" s="213"/>
      <c r="H107" s="155"/>
      <c r="I107" s="155"/>
    </row>
    <row r="108" spans="1:9" x14ac:dyDescent="0.2">
      <c r="A108" s="212"/>
      <c r="B108" s="156"/>
      <c r="C108" s="156"/>
      <c r="D108" s="156"/>
      <c r="E108" s="156"/>
      <c r="F108" s="156"/>
      <c r="G108" s="213"/>
      <c r="H108" s="157"/>
      <c r="I108" s="157"/>
    </row>
    <row r="109" spans="1:9" x14ac:dyDescent="0.2">
      <c r="A109" s="212"/>
      <c r="B109" s="156"/>
      <c r="C109" s="156"/>
      <c r="D109" s="156"/>
      <c r="E109" s="156"/>
      <c r="F109" s="156"/>
      <c r="G109" s="213"/>
      <c r="H109" s="155"/>
      <c r="I109" s="155"/>
    </row>
    <row r="110" spans="1:9" x14ac:dyDescent="0.2">
      <c r="A110" s="212"/>
      <c r="B110" s="156"/>
      <c r="C110" s="156"/>
      <c r="D110" s="156"/>
      <c r="E110" s="156"/>
      <c r="F110" s="156"/>
      <c r="G110" s="213"/>
      <c r="H110" s="157"/>
      <c r="I110" s="157"/>
    </row>
    <row r="111" spans="1:9" x14ac:dyDescent="0.2">
      <c r="A111" s="212"/>
      <c r="B111" s="156"/>
      <c r="C111" s="156"/>
      <c r="D111" s="156"/>
      <c r="E111" s="156"/>
      <c r="F111" s="156"/>
      <c r="G111" s="213"/>
      <c r="H111" s="155"/>
      <c r="I111" s="155"/>
    </row>
    <row r="112" spans="1:9" x14ac:dyDescent="0.2">
      <c r="A112" s="212"/>
      <c r="B112" s="156"/>
      <c r="C112" s="156"/>
      <c r="D112" s="156"/>
      <c r="E112" s="156"/>
      <c r="F112" s="156"/>
      <c r="G112" s="213"/>
      <c r="H112" s="157"/>
      <c r="I112" s="157"/>
    </row>
    <row r="113" spans="1:9" x14ac:dyDescent="0.2">
      <c r="A113" s="212"/>
      <c r="B113" s="156"/>
      <c r="C113" s="156"/>
      <c r="D113" s="156"/>
      <c r="E113" s="156"/>
      <c r="F113" s="156"/>
      <c r="G113" s="213"/>
      <c r="H113" s="155"/>
      <c r="I113" s="155"/>
    </row>
    <row r="114" spans="1:9" x14ac:dyDescent="0.2">
      <c r="A114" s="212"/>
      <c r="B114" s="156"/>
      <c r="C114" s="156"/>
      <c r="D114" s="156"/>
      <c r="E114" s="156"/>
      <c r="F114" s="156"/>
      <c r="G114" s="213"/>
      <c r="H114" s="157"/>
      <c r="I114" s="157"/>
    </row>
    <row r="115" spans="1:9" x14ac:dyDescent="0.2">
      <c r="A115" s="212"/>
      <c r="B115" s="156"/>
      <c r="C115" s="156"/>
      <c r="D115" s="156"/>
      <c r="E115" s="156"/>
      <c r="F115" s="156"/>
      <c r="G115" s="213"/>
      <c r="H115" s="155"/>
      <c r="I115" s="155"/>
    </row>
    <row r="116" spans="1:9" x14ac:dyDescent="0.2">
      <c r="A116" s="212"/>
      <c r="B116" s="156"/>
      <c r="C116" s="156"/>
      <c r="D116" s="156"/>
      <c r="E116" s="156"/>
      <c r="F116" s="156"/>
      <c r="G116" s="213"/>
      <c r="H116" s="157"/>
      <c r="I116" s="157"/>
    </row>
    <row r="117" spans="1:9" x14ac:dyDescent="0.2">
      <c r="A117" s="212"/>
      <c r="B117" s="156"/>
      <c r="C117" s="156"/>
      <c r="D117" s="156"/>
      <c r="E117" s="156"/>
      <c r="F117" s="156"/>
      <c r="G117" s="213"/>
      <c r="H117" s="155"/>
      <c r="I117" s="155"/>
    </row>
    <row r="118" spans="1:9" x14ac:dyDescent="0.2">
      <c r="A118" s="212"/>
      <c r="B118" s="156"/>
      <c r="C118" s="156"/>
      <c r="D118" s="156"/>
      <c r="E118" s="156"/>
      <c r="F118" s="156"/>
      <c r="G118" s="213"/>
      <c r="H118" s="157"/>
      <c r="I118" s="157"/>
    </row>
    <row r="119" spans="1:9" x14ac:dyDescent="0.2">
      <c r="A119" s="212"/>
      <c r="B119" s="156"/>
      <c r="C119" s="156"/>
      <c r="D119" s="156"/>
      <c r="E119" s="156"/>
      <c r="F119" s="156"/>
      <c r="G119" s="213"/>
      <c r="H119" s="155"/>
      <c r="I119" s="155"/>
    </row>
    <row r="120" spans="1:9" x14ac:dyDescent="0.2">
      <c r="A120" s="212"/>
      <c r="B120" s="156"/>
      <c r="C120" s="156"/>
      <c r="D120" s="156"/>
      <c r="E120" s="156"/>
      <c r="F120" s="156"/>
      <c r="G120" s="213"/>
      <c r="H120" s="157"/>
      <c r="I120" s="157"/>
    </row>
    <row r="123" spans="1:9" x14ac:dyDescent="0.2">
      <c r="E123" s="158"/>
    </row>
  </sheetData>
  <mergeCells count="110">
    <mergeCell ref="B26:F26"/>
    <mergeCell ref="H26:I26"/>
    <mergeCell ref="B3:F3"/>
    <mergeCell ref="H3:I3"/>
    <mergeCell ref="A6:A7"/>
    <mergeCell ref="G6:G7"/>
    <mergeCell ref="A8:A9"/>
    <mergeCell ref="G8:G9"/>
    <mergeCell ref="A10:A11"/>
    <mergeCell ref="G10:G11"/>
    <mergeCell ref="A12:A13"/>
    <mergeCell ref="G12:G13"/>
    <mergeCell ref="A14:A15"/>
    <mergeCell ref="G14:G15"/>
    <mergeCell ref="A16:A17"/>
    <mergeCell ref="G16:G17"/>
    <mergeCell ref="A18:A19"/>
    <mergeCell ref="G18:G19"/>
    <mergeCell ref="A20:A21"/>
    <mergeCell ref="G20:G21"/>
    <mergeCell ref="A22:A23"/>
    <mergeCell ref="G22:G23"/>
    <mergeCell ref="A24:A25"/>
    <mergeCell ref="G24:G25"/>
    <mergeCell ref="H49:I49"/>
    <mergeCell ref="A52:A53"/>
    <mergeCell ref="G52:G53"/>
    <mergeCell ref="A29:A30"/>
    <mergeCell ref="G29:G30"/>
    <mergeCell ref="A31:A32"/>
    <mergeCell ref="G31:G32"/>
    <mergeCell ref="A33:A34"/>
    <mergeCell ref="G33:G34"/>
    <mergeCell ref="A35:A36"/>
    <mergeCell ref="G35:G36"/>
    <mergeCell ref="A37:A38"/>
    <mergeCell ref="G37:G38"/>
    <mergeCell ref="A39:A40"/>
    <mergeCell ref="G39:G40"/>
    <mergeCell ref="A41:A42"/>
    <mergeCell ref="G41:G42"/>
    <mergeCell ref="A43:A44"/>
    <mergeCell ref="G43:G44"/>
    <mergeCell ref="A45:A46"/>
    <mergeCell ref="G45:G46"/>
    <mergeCell ref="A47:A48"/>
    <mergeCell ref="G47:G48"/>
    <mergeCell ref="B49:F49"/>
    <mergeCell ref="A64:A65"/>
    <mergeCell ref="G64:G65"/>
    <mergeCell ref="A66:A67"/>
    <mergeCell ref="G66:G67"/>
    <mergeCell ref="A68:A69"/>
    <mergeCell ref="G68:G69"/>
    <mergeCell ref="A70:A71"/>
    <mergeCell ref="G70:G71"/>
    <mergeCell ref="B75:F75"/>
    <mergeCell ref="A54:A55"/>
    <mergeCell ref="G54:G55"/>
    <mergeCell ref="A56:A57"/>
    <mergeCell ref="G56:G57"/>
    <mergeCell ref="A58:A59"/>
    <mergeCell ref="G58:G59"/>
    <mergeCell ref="A60:A61"/>
    <mergeCell ref="G60:G61"/>
    <mergeCell ref="A62:A63"/>
    <mergeCell ref="G62:G63"/>
    <mergeCell ref="H75:I75"/>
    <mergeCell ref="A78:A79"/>
    <mergeCell ref="G78:G79"/>
    <mergeCell ref="A82:A83"/>
    <mergeCell ref="G82:G83"/>
    <mergeCell ref="A84:A85"/>
    <mergeCell ref="G84:G85"/>
    <mergeCell ref="A86:A87"/>
    <mergeCell ref="G86:G87"/>
    <mergeCell ref="A80:A81"/>
    <mergeCell ref="G80:G81"/>
    <mergeCell ref="H98:I98"/>
    <mergeCell ref="A88:A89"/>
    <mergeCell ref="G88:G89"/>
    <mergeCell ref="A90:A91"/>
    <mergeCell ref="G90:G91"/>
    <mergeCell ref="A92:A93"/>
    <mergeCell ref="G92:G93"/>
    <mergeCell ref="A94:A95"/>
    <mergeCell ref="G94:G95"/>
    <mergeCell ref="A96:A97"/>
    <mergeCell ref="A107:A108"/>
    <mergeCell ref="G107:G108"/>
    <mergeCell ref="A109:A110"/>
    <mergeCell ref="G109:G110"/>
    <mergeCell ref="A111:A112"/>
    <mergeCell ref="G111:G112"/>
    <mergeCell ref="G96:G97"/>
    <mergeCell ref="B98:F98"/>
    <mergeCell ref="A119:A120"/>
    <mergeCell ref="G119:G120"/>
    <mergeCell ref="A113:A114"/>
    <mergeCell ref="G113:G114"/>
    <mergeCell ref="A115:A116"/>
    <mergeCell ref="G115:G116"/>
    <mergeCell ref="A117:A118"/>
    <mergeCell ref="G117:G118"/>
    <mergeCell ref="A101:A102"/>
    <mergeCell ref="G101:G102"/>
    <mergeCell ref="A103:A104"/>
    <mergeCell ref="G103:G104"/>
    <mergeCell ref="A105:A106"/>
    <mergeCell ref="G105:G1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5A0A-A1D4-5E40-A184-671BDA3DBF2E}">
  <dimension ref="A1:F47"/>
  <sheetViews>
    <sheetView tabSelected="1" workbookViewId="0">
      <selection activeCell="G7" sqref="G7"/>
    </sheetView>
  </sheetViews>
  <sheetFormatPr baseColWidth="10" defaultColWidth="22.5" defaultRowHeight="15" x14ac:dyDescent="0.2"/>
  <cols>
    <col min="1" max="16384" width="22.5" style="4"/>
  </cols>
  <sheetData>
    <row r="1" spans="1:6" x14ac:dyDescent="0.2">
      <c r="A1" s="8" t="s">
        <v>160</v>
      </c>
      <c r="B1" s="200"/>
      <c r="C1" s="200"/>
      <c r="D1" s="200"/>
      <c r="E1" s="200"/>
      <c r="F1" s="199"/>
    </row>
    <row r="2" spans="1:6" ht="4.5" customHeight="1" thickBot="1" x14ac:dyDescent="0.25">
      <c r="B2" s="200"/>
      <c r="C2" s="200"/>
      <c r="D2" s="200"/>
      <c r="E2" s="194"/>
      <c r="F2" s="199"/>
    </row>
    <row r="3" spans="1:6" x14ac:dyDescent="0.2">
      <c r="A3" s="198" t="s">
        <v>1</v>
      </c>
      <c r="B3" s="197" t="s">
        <v>159</v>
      </c>
      <c r="C3" s="197" t="s">
        <v>158</v>
      </c>
      <c r="D3" s="197" t="s">
        <v>157</v>
      </c>
      <c r="E3" s="197" t="s">
        <v>156</v>
      </c>
      <c r="F3" s="196" t="s">
        <v>155</v>
      </c>
    </row>
    <row r="4" spans="1:6" x14ac:dyDescent="0.2">
      <c r="A4" s="195"/>
      <c r="B4" s="194" t="s">
        <v>154</v>
      </c>
      <c r="C4" s="239" t="s">
        <v>153</v>
      </c>
      <c r="D4" s="239"/>
      <c r="E4" s="239"/>
      <c r="F4" s="188"/>
    </row>
    <row r="5" spans="1:6" x14ac:dyDescent="0.2">
      <c r="A5" s="195"/>
      <c r="B5" s="194" t="s">
        <v>11</v>
      </c>
      <c r="C5" s="194" t="s">
        <v>152</v>
      </c>
      <c r="D5" s="194" t="s">
        <v>151</v>
      </c>
      <c r="E5" s="194" t="s">
        <v>150</v>
      </c>
      <c r="F5" s="188"/>
    </row>
    <row r="6" spans="1:6" x14ac:dyDescent="0.2">
      <c r="A6" s="190"/>
      <c r="B6" s="194" t="s">
        <v>95</v>
      </c>
      <c r="C6" s="194" t="s">
        <v>143</v>
      </c>
      <c r="D6" s="194" t="s">
        <v>149</v>
      </c>
      <c r="E6" s="194" t="s">
        <v>143</v>
      </c>
      <c r="F6" s="188" t="s">
        <v>148</v>
      </c>
    </row>
    <row r="7" spans="1:6" ht="16" thickBot="1" x14ac:dyDescent="0.25">
      <c r="A7" s="190" t="s">
        <v>12</v>
      </c>
      <c r="B7" s="194" t="s">
        <v>147</v>
      </c>
      <c r="C7" s="194" t="s">
        <v>146</v>
      </c>
      <c r="D7" s="194" t="s">
        <v>145</v>
      </c>
      <c r="E7" s="194" t="s">
        <v>144</v>
      </c>
      <c r="F7" s="188" t="s">
        <v>143</v>
      </c>
    </row>
    <row r="8" spans="1:6" ht="16" thickBot="1" x14ac:dyDescent="0.25">
      <c r="A8" s="193" t="s">
        <v>17</v>
      </c>
      <c r="B8" s="192">
        <v>0.37</v>
      </c>
      <c r="C8" s="192">
        <v>0.4</v>
      </c>
      <c r="D8" s="192">
        <v>0.44</v>
      </c>
      <c r="E8" s="192">
        <v>0.84</v>
      </c>
      <c r="F8" s="191">
        <f>E8-B8</f>
        <v>0.47</v>
      </c>
    </row>
    <row r="9" spans="1:6" x14ac:dyDescent="0.2">
      <c r="A9" s="190" t="s">
        <v>18</v>
      </c>
      <c r="B9" s="189">
        <v>0.04</v>
      </c>
      <c r="C9" s="189">
        <v>0.08</v>
      </c>
      <c r="D9" s="189">
        <v>0.35</v>
      </c>
      <c r="E9" s="189">
        <v>0.43</v>
      </c>
      <c r="F9" s="188">
        <v>0.38</v>
      </c>
    </row>
    <row r="10" spans="1:6" x14ac:dyDescent="0.2">
      <c r="A10" s="190" t="s">
        <v>19</v>
      </c>
      <c r="B10" s="189">
        <v>0.28000000000000003</v>
      </c>
      <c r="C10" s="189">
        <v>0.31</v>
      </c>
      <c r="D10" s="189">
        <v>0.3</v>
      </c>
      <c r="E10" s="189">
        <v>0.61</v>
      </c>
      <c r="F10" s="188">
        <v>0.33</v>
      </c>
    </row>
    <row r="11" spans="1:6" x14ac:dyDescent="0.2">
      <c r="A11" s="190" t="s">
        <v>20</v>
      </c>
      <c r="B11" s="189">
        <v>0.12</v>
      </c>
      <c r="C11" s="189">
        <v>0.13</v>
      </c>
      <c r="D11" s="189">
        <v>0.08</v>
      </c>
      <c r="E11" s="189">
        <v>0.2</v>
      </c>
      <c r="F11" s="188">
        <v>0.09</v>
      </c>
    </row>
    <row r="12" spans="1:6" x14ac:dyDescent="0.2">
      <c r="A12" s="190" t="s">
        <v>21</v>
      </c>
      <c r="B12" s="189">
        <v>0.02</v>
      </c>
      <c r="C12" s="189">
        <v>0.05</v>
      </c>
      <c r="D12" s="189">
        <v>0.31</v>
      </c>
      <c r="E12" s="189">
        <v>0.36</v>
      </c>
      <c r="F12" s="188">
        <v>0.33</v>
      </c>
    </row>
    <row r="13" spans="1:6" x14ac:dyDescent="0.2">
      <c r="A13" s="190" t="s">
        <v>22</v>
      </c>
      <c r="B13" s="189">
        <v>0.55000000000000004</v>
      </c>
      <c r="C13" s="189">
        <v>0.56999999999999995</v>
      </c>
      <c r="D13" s="189">
        <v>0.42</v>
      </c>
      <c r="E13" s="189">
        <v>0.99</v>
      </c>
      <c r="F13" s="188">
        <v>0.45</v>
      </c>
    </row>
    <row r="14" spans="1:6" x14ac:dyDescent="0.2">
      <c r="A14" s="190" t="s">
        <v>23</v>
      </c>
      <c r="B14" s="189">
        <v>0.74</v>
      </c>
      <c r="C14" s="189">
        <v>0.79</v>
      </c>
      <c r="D14" s="189">
        <v>0.46</v>
      </c>
      <c r="E14" s="189">
        <v>1.25</v>
      </c>
      <c r="F14" s="188">
        <v>0.51</v>
      </c>
    </row>
    <row r="15" spans="1:6" x14ac:dyDescent="0.2">
      <c r="A15" s="190" t="s">
        <v>24</v>
      </c>
      <c r="B15" s="189">
        <v>0.37</v>
      </c>
      <c r="C15" s="189">
        <v>0.41</v>
      </c>
      <c r="D15" s="189">
        <v>0.56999999999999995</v>
      </c>
      <c r="E15" s="189">
        <v>0.98</v>
      </c>
      <c r="F15" s="188">
        <v>0.61</v>
      </c>
    </row>
    <row r="16" spans="1:6" x14ac:dyDescent="0.2">
      <c r="A16" s="190" t="s">
        <v>25</v>
      </c>
      <c r="B16" s="189">
        <v>0.01</v>
      </c>
      <c r="C16" s="189">
        <v>-0.01</v>
      </c>
      <c r="D16" s="189">
        <v>-0.17</v>
      </c>
      <c r="E16" s="189">
        <v>-0.19</v>
      </c>
      <c r="F16" s="188">
        <v>-0.2</v>
      </c>
    </row>
    <row r="17" spans="1:6" ht="16" thickBot="1" x14ac:dyDescent="0.25">
      <c r="A17" s="187" t="s">
        <v>26</v>
      </c>
      <c r="B17" s="15">
        <v>-0.99</v>
      </c>
      <c r="C17" s="15">
        <v>-1.01</v>
      </c>
      <c r="D17" s="15">
        <v>-0.25</v>
      </c>
      <c r="E17" s="15">
        <v>-1.27</v>
      </c>
      <c r="F17" s="186">
        <v>-0.28000000000000003</v>
      </c>
    </row>
    <row r="18" spans="1:6" x14ac:dyDescent="0.2">
      <c r="A18" s="185" t="s">
        <v>27</v>
      </c>
      <c r="B18" s="184" t="s">
        <v>159</v>
      </c>
      <c r="C18" s="184" t="s">
        <v>158</v>
      </c>
      <c r="D18" s="184" t="s">
        <v>157</v>
      </c>
      <c r="E18" s="184" t="s">
        <v>156</v>
      </c>
      <c r="F18" s="183" t="s">
        <v>155</v>
      </c>
    </row>
    <row r="19" spans="1:6" x14ac:dyDescent="0.2">
      <c r="A19" s="182"/>
      <c r="B19" s="181" t="s">
        <v>154</v>
      </c>
      <c r="C19" s="240" t="s">
        <v>153</v>
      </c>
      <c r="D19" s="240"/>
      <c r="E19" s="240"/>
      <c r="F19" s="176"/>
    </row>
    <row r="20" spans="1:6" x14ac:dyDescent="0.2">
      <c r="A20" s="182"/>
      <c r="B20" s="181" t="s">
        <v>11</v>
      </c>
      <c r="C20" s="181" t="s">
        <v>152</v>
      </c>
      <c r="D20" s="181" t="s">
        <v>151</v>
      </c>
      <c r="E20" s="181" t="s">
        <v>150</v>
      </c>
      <c r="F20" s="176"/>
    </row>
    <row r="21" spans="1:6" x14ac:dyDescent="0.2">
      <c r="A21" s="177"/>
      <c r="B21" s="181" t="s">
        <v>95</v>
      </c>
      <c r="C21" s="181" t="s">
        <v>143</v>
      </c>
      <c r="D21" s="181" t="s">
        <v>149</v>
      </c>
      <c r="E21" s="181" t="s">
        <v>143</v>
      </c>
      <c r="F21" s="176" t="s">
        <v>148</v>
      </c>
    </row>
    <row r="22" spans="1:6" ht="16" thickBot="1" x14ac:dyDescent="0.25">
      <c r="A22" s="177" t="s">
        <v>12</v>
      </c>
      <c r="B22" s="181" t="s">
        <v>147</v>
      </c>
      <c r="C22" s="181" t="s">
        <v>146</v>
      </c>
      <c r="D22" s="181" t="s">
        <v>145</v>
      </c>
      <c r="E22" s="181" t="s">
        <v>144</v>
      </c>
      <c r="F22" s="176" t="s">
        <v>143</v>
      </c>
    </row>
    <row r="23" spans="1:6" ht="16" thickBot="1" x14ac:dyDescent="0.25">
      <c r="A23" s="180" t="s">
        <v>17</v>
      </c>
      <c r="B23" s="179">
        <v>0.36918000000000001</v>
      </c>
      <c r="C23" s="179">
        <v>0.40046045684788578</v>
      </c>
      <c r="D23" s="179">
        <v>0.44391256036631682</v>
      </c>
      <c r="E23" s="179">
        <v>0.84437301721420255</v>
      </c>
      <c r="F23" s="178">
        <f t="shared" ref="F23:F32" si="0">E23-B23</f>
        <v>0.47519301721420254</v>
      </c>
    </row>
    <row r="24" spans="1:6" x14ac:dyDescent="0.2">
      <c r="A24" s="177" t="s">
        <v>18</v>
      </c>
      <c r="B24" s="14">
        <v>4.5139626915263506E-2</v>
      </c>
      <c r="C24" s="14">
        <v>7.682384966280667E-2</v>
      </c>
      <c r="D24" s="14">
        <v>0.35060648815328166</v>
      </c>
      <c r="E24" s="14">
        <v>0.4274303378160883</v>
      </c>
      <c r="F24" s="176">
        <f t="shared" si="0"/>
        <v>0.38229071090082478</v>
      </c>
    </row>
    <row r="25" spans="1:6" x14ac:dyDescent="0.2">
      <c r="A25" s="177" t="s">
        <v>19</v>
      </c>
      <c r="B25" s="14">
        <v>0.28149274525840579</v>
      </c>
      <c r="C25" s="14">
        <v>0.31357329535773748</v>
      </c>
      <c r="D25" s="14">
        <v>0.30124979638727578</v>
      </c>
      <c r="E25" s="14">
        <v>0.61482309174501326</v>
      </c>
      <c r="F25" s="176">
        <f t="shared" si="0"/>
        <v>0.33333034648660748</v>
      </c>
    </row>
    <row r="26" spans="1:6" x14ac:dyDescent="0.2">
      <c r="A26" s="177" t="s">
        <v>20</v>
      </c>
      <c r="B26" s="14">
        <v>0.11747</v>
      </c>
      <c r="C26" s="14">
        <v>0.12572381584430989</v>
      </c>
      <c r="D26" s="14">
        <v>8.0206728060373517E-2</v>
      </c>
      <c r="E26" s="14">
        <v>0.20593054390468341</v>
      </c>
      <c r="F26" s="176">
        <f t="shared" si="0"/>
        <v>8.84605439046834E-2</v>
      </c>
    </row>
    <row r="27" spans="1:6" x14ac:dyDescent="0.2">
      <c r="A27" s="177" t="s">
        <v>21</v>
      </c>
      <c r="B27" s="14">
        <v>2.5195810118837682E-2</v>
      </c>
      <c r="C27" s="14">
        <v>4.9361749476435728E-2</v>
      </c>
      <c r="D27" s="14">
        <v>0.31101902221771277</v>
      </c>
      <c r="E27" s="14">
        <v>0.36038077169414851</v>
      </c>
      <c r="F27" s="176">
        <f t="shared" si="0"/>
        <v>0.3351849615753108</v>
      </c>
    </row>
    <row r="28" spans="1:6" x14ac:dyDescent="0.2">
      <c r="A28" s="177" t="s">
        <v>22</v>
      </c>
      <c r="B28" s="14">
        <v>0.54932999999999998</v>
      </c>
      <c r="C28" s="14">
        <v>0.57421434194683063</v>
      </c>
      <c r="D28" s="14">
        <v>0.42049868139305813</v>
      </c>
      <c r="E28" s="14">
        <v>0.99471302333988876</v>
      </c>
      <c r="F28" s="176">
        <f t="shared" si="0"/>
        <v>0.44538302333988877</v>
      </c>
    </row>
    <row r="29" spans="1:6" x14ac:dyDescent="0.2">
      <c r="A29" s="177" t="s">
        <v>23</v>
      </c>
      <c r="B29" s="14">
        <v>0.73557300000000003</v>
      </c>
      <c r="C29" s="14">
        <v>0.78833798945629019</v>
      </c>
      <c r="D29" s="14">
        <v>0.45858054557006761</v>
      </c>
      <c r="E29" s="14">
        <v>1.2469185350263579</v>
      </c>
      <c r="F29" s="176">
        <f t="shared" si="0"/>
        <v>0.51134553502635782</v>
      </c>
    </row>
    <row r="30" spans="1:6" x14ac:dyDescent="0.2">
      <c r="A30" s="177" t="s">
        <v>24</v>
      </c>
      <c r="B30" s="14">
        <v>0.36725485894082432</v>
      </c>
      <c r="C30" s="14">
        <v>0.40561836290204356</v>
      </c>
      <c r="D30" s="14">
        <v>0.57265980253665094</v>
      </c>
      <c r="E30" s="14">
        <v>0.9782781654386945</v>
      </c>
      <c r="F30" s="176">
        <f t="shared" si="0"/>
        <v>0.61102330649787018</v>
      </c>
    </row>
    <row r="31" spans="1:6" x14ac:dyDescent="0.2">
      <c r="A31" s="177" t="s">
        <v>25</v>
      </c>
      <c r="B31" s="14">
        <v>9.9344199900113905E-3</v>
      </c>
      <c r="C31" s="14">
        <v>-1.3585385349679624E-2</v>
      </c>
      <c r="D31" s="14">
        <v>-0.1721566371208105</v>
      </c>
      <c r="E31" s="14">
        <v>-0.18574202247049013</v>
      </c>
      <c r="F31" s="176">
        <f t="shared" si="0"/>
        <v>-0.1956764424605015</v>
      </c>
    </row>
    <row r="32" spans="1:6" ht="16" thickBot="1" x14ac:dyDescent="0.25">
      <c r="A32" s="175" t="s">
        <v>26</v>
      </c>
      <c r="B32" s="13">
        <v>-0.99322087801681114</v>
      </c>
      <c r="C32" s="13">
        <v>-1.0148616824432748</v>
      </c>
      <c r="D32" s="13">
        <v>-0.25245188405322261</v>
      </c>
      <c r="E32" s="13">
        <v>-1.2673135664964974</v>
      </c>
      <c r="F32" s="174">
        <f t="shared" si="0"/>
        <v>-0.27409268847968626</v>
      </c>
    </row>
    <row r="33" spans="1:6" x14ac:dyDescent="0.2">
      <c r="A33" s="173" t="s">
        <v>28</v>
      </c>
      <c r="B33" s="172" t="s">
        <v>159</v>
      </c>
      <c r="C33" s="172" t="s">
        <v>158</v>
      </c>
      <c r="D33" s="172" t="s">
        <v>157</v>
      </c>
      <c r="E33" s="172" t="s">
        <v>156</v>
      </c>
      <c r="F33" s="171" t="s">
        <v>155</v>
      </c>
    </row>
    <row r="34" spans="1:6" x14ac:dyDescent="0.2">
      <c r="A34" s="170"/>
      <c r="B34" s="9" t="s">
        <v>154</v>
      </c>
      <c r="C34" s="241" t="s">
        <v>153</v>
      </c>
      <c r="D34" s="241"/>
      <c r="E34" s="241"/>
      <c r="F34" s="11"/>
    </row>
    <row r="35" spans="1:6" x14ac:dyDescent="0.2">
      <c r="A35" s="170"/>
      <c r="B35" s="9" t="s">
        <v>11</v>
      </c>
      <c r="C35" s="9" t="s">
        <v>152</v>
      </c>
      <c r="D35" s="9" t="s">
        <v>151</v>
      </c>
      <c r="E35" s="9" t="s">
        <v>150</v>
      </c>
      <c r="F35" s="11"/>
    </row>
    <row r="36" spans="1:6" x14ac:dyDescent="0.2">
      <c r="A36" s="166"/>
      <c r="B36" s="9" t="s">
        <v>95</v>
      </c>
      <c r="C36" s="9" t="s">
        <v>143</v>
      </c>
      <c r="D36" s="9" t="s">
        <v>149</v>
      </c>
      <c r="E36" s="9" t="s">
        <v>143</v>
      </c>
      <c r="F36" s="11" t="s">
        <v>148</v>
      </c>
    </row>
    <row r="37" spans="1:6" ht="16" thickBot="1" x14ac:dyDescent="0.25">
      <c r="A37" s="166" t="s">
        <v>12</v>
      </c>
      <c r="B37" s="9" t="s">
        <v>147</v>
      </c>
      <c r="C37" s="9" t="s">
        <v>146</v>
      </c>
      <c r="D37" s="9" t="s">
        <v>145</v>
      </c>
      <c r="E37" s="9" t="s">
        <v>144</v>
      </c>
      <c r="F37" s="11" t="s">
        <v>143</v>
      </c>
    </row>
    <row r="38" spans="1:6" ht="16" thickBot="1" x14ac:dyDescent="0.25">
      <c r="A38" s="169" t="s">
        <v>17</v>
      </c>
      <c r="B38" s="168">
        <f t="shared" ref="B38:F47" si="1">B23-B8</f>
        <v>-8.1999999999998741E-4</v>
      </c>
      <c r="C38" s="168">
        <f t="shared" si="1"/>
        <v>4.6045684788575958E-4</v>
      </c>
      <c r="D38" s="168">
        <f t="shared" si="1"/>
        <v>3.9125603663168196E-3</v>
      </c>
      <c r="E38" s="168">
        <f t="shared" si="1"/>
        <v>4.3730172142025792E-3</v>
      </c>
      <c r="F38" s="167">
        <f t="shared" si="1"/>
        <v>5.1930172142025666E-3</v>
      </c>
    </row>
    <row r="39" spans="1:6" x14ac:dyDescent="0.2">
      <c r="A39" s="166" t="s">
        <v>18</v>
      </c>
      <c r="B39" s="10">
        <f t="shared" si="1"/>
        <v>5.1396269152635052E-3</v>
      </c>
      <c r="C39" s="10">
        <f t="shared" si="1"/>
        <v>-3.1761503371933314E-3</v>
      </c>
      <c r="D39" s="10">
        <f t="shared" si="1"/>
        <v>6.0648815328168126E-4</v>
      </c>
      <c r="E39" s="10">
        <f t="shared" si="1"/>
        <v>-2.5696621839116918E-3</v>
      </c>
      <c r="F39" s="11">
        <f t="shared" si="1"/>
        <v>2.2907109008247772E-3</v>
      </c>
    </row>
    <row r="40" spans="1:6" x14ac:dyDescent="0.2">
      <c r="A40" s="166" t="s">
        <v>19</v>
      </c>
      <c r="B40" s="10">
        <f t="shared" si="1"/>
        <v>1.4927452584057588E-3</v>
      </c>
      <c r="C40" s="10">
        <f t="shared" si="1"/>
        <v>3.5732953577374826E-3</v>
      </c>
      <c r="D40" s="10">
        <f t="shared" si="1"/>
        <v>1.2497963872757922E-3</v>
      </c>
      <c r="E40" s="10">
        <f t="shared" si="1"/>
        <v>4.8230917450132749E-3</v>
      </c>
      <c r="F40" s="11">
        <f t="shared" si="1"/>
        <v>3.3303464866074606E-3</v>
      </c>
    </row>
    <row r="41" spans="1:6" x14ac:dyDescent="0.2">
      <c r="A41" s="166" t="s">
        <v>20</v>
      </c>
      <c r="B41" s="10">
        <f t="shared" si="1"/>
        <v>-2.5299999999999906E-3</v>
      </c>
      <c r="C41" s="10">
        <f t="shared" si="1"/>
        <v>-4.2761841556901159E-3</v>
      </c>
      <c r="D41" s="10">
        <f t="shared" si="1"/>
        <v>2.0672806037351499E-4</v>
      </c>
      <c r="E41" s="10">
        <f t="shared" si="1"/>
        <v>5.9305439046833941E-3</v>
      </c>
      <c r="F41" s="11">
        <f t="shared" si="1"/>
        <v>-1.5394560953165964E-3</v>
      </c>
    </row>
    <row r="42" spans="1:6" x14ac:dyDescent="0.2">
      <c r="A42" s="166" t="s">
        <v>21</v>
      </c>
      <c r="B42" s="10">
        <f t="shared" si="1"/>
        <v>5.1958101188376814E-3</v>
      </c>
      <c r="C42" s="10">
        <f t="shared" si="1"/>
        <v>-6.382505235642752E-4</v>
      </c>
      <c r="D42" s="10">
        <f t="shared" si="1"/>
        <v>1.0190222177127728E-3</v>
      </c>
      <c r="E42" s="10">
        <f t="shared" si="1"/>
        <v>3.8077169414851841E-4</v>
      </c>
      <c r="F42" s="11">
        <f t="shared" si="1"/>
        <v>5.1849615753107869E-3</v>
      </c>
    </row>
    <row r="43" spans="1:6" x14ac:dyDescent="0.2">
      <c r="A43" s="166" t="s">
        <v>22</v>
      </c>
      <c r="B43" s="10">
        <f t="shared" si="1"/>
        <v>-6.7000000000005944E-4</v>
      </c>
      <c r="C43" s="10">
        <f t="shared" si="1"/>
        <v>4.2143419468306798E-3</v>
      </c>
      <c r="D43" s="10">
        <f t="shared" si="1"/>
        <v>4.9868139305814241E-4</v>
      </c>
      <c r="E43" s="10">
        <f t="shared" si="1"/>
        <v>4.7130233398887666E-3</v>
      </c>
      <c r="F43" s="11">
        <f t="shared" si="1"/>
        <v>-4.6169766601112383E-3</v>
      </c>
    </row>
    <row r="44" spans="1:6" x14ac:dyDescent="0.2">
      <c r="A44" s="166" t="s">
        <v>23</v>
      </c>
      <c r="B44" s="10">
        <f t="shared" si="1"/>
        <v>-4.4269999999999587E-3</v>
      </c>
      <c r="C44" s="10">
        <f t="shared" si="1"/>
        <v>-1.6620105437098465E-3</v>
      </c>
      <c r="D44" s="10">
        <f t="shared" si="1"/>
        <v>-1.4194544299324097E-3</v>
      </c>
      <c r="E44" s="10">
        <f t="shared" si="1"/>
        <v>-3.0814649736421451E-3</v>
      </c>
      <c r="F44" s="11">
        <f t="shared" si="1"/>
        <v>1.3455350263578136E-3</v>
      </c>
    </row>
    <row r="45" spans="1:6" x14ac:dyDescent="0.2">
      <c r="A45" s="166" t="s">
        <v>24</v>
      </c>
      <c r="B45" s="10">
        <f t="shared" si="1"/>
        <v>-2.7451410591756709E-3</v>
      </c>
      <c r="C45" s="10">
        <f t="shared" si="1"/>
        <v>-4.3816370979564145E-3</v>
      </c>
      <c r="D45" s="10">
        <f t="shared" si="1"/>
        <v>2.6598025366509903E-3</v>
      </c>
      <c r="E45" s="10">
        <f t="shared" si="1"/>
        <v>-1.7218345613054797E-3</v>
      </c>
      <c r="F45" s="11">
        <f t="shared" si="1"/>
        <v>1.0233064978701911E-3</v>
      </c>
    </row>
    <row r="46" spans="1:6" x14ac:dyDescent="0.2">
      <c r="A46" s="166" t="s">
        <v>25</v>
      </c>
      <c r="B46" s="10">
        <f t="shared" si="1"/>
        <v>-6.5580009988609744E-5</v>
      </c>
      <c r="C46" s="10">
        <f t="shared" si="1"/>
        <v>-3.5853853496796238E-3</v>
      </c>
      <c r="D46" s="10">
        <f t="shared" si="1"/>
        <v>-2.1566371208104895E-3</v>
      </c>
      <c r="E46" s="10">
        <f t="shared" si="1"/>
        <v>4.2579775295098765E-3</v>
      </c>
      <c r="F46" s="11">
        <f t="shared" si="1"/>
        <v>4.3235575394985071E-3</v>
      </c>
    </row>
    <row r="47" spans="1:6" ht="16" thickBot="1" x14ac:dyDescent="0.25">
      <c r="A47" s="165" t="s">
        <v>26</v>
      </c>
      <c r="B47" s="12">
        <f t="shared" si="1"/>
        <v>-3.2208780168111462E-3</v>
      </c>
      <c r="C47" s="12">
        <f t="shared" si="1"/>
        <v>-4.861682443274784E-3</v>
      </c>
      <c r="D47" s="12">
        <f t="shared" si="1"/>
        <v>-2.4518840532226083E-3</v>
      </c>
      <c r="E47" s="12">
        <f t="shared" si="1"/>
        <v>2.6864335035026166E-3</v>
      </c>
      <c r="F47" s="164">
        <f t="shared" si="1"/>
        <v>5.9073115203137627E-3</v>
      </c>
    </row>
  </sheetData>
  <mergeCells count="3">
    <mergeCell ref="C4:E4"/>
    <mergeCell ref="C19:E19"/>
    <mergeCell ref="C34:E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"/>
  <sheetViews>
    <sheetView topLeftCell="D1" workbookViewId="0">
      <selection activeCell="K11" sqref="K11"/>
    </sheetView>
  </sheetViews>
  <sheetFormatPr baseColWidth="10" defaultColWidth="14.33203125" defaultRowHeight="15" customHeight="1" x14ac:dyDescent="0.2"/>
  <cols>
    <col min="1" max="16384" width="14.33203125" style="24"/>
  </cols>
  <sheetData>
    <row r="1" spans="1:26" ht="60" customHeight="1" x14ac:dyDescent="0.2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/>
      <c r="N1" s="2"/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 ht="15" customHeight="1" x14ac:dyDescent="0.2">
      <c r="A2" s="23" t="s">
        <v>51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/>
      <c r="N2" s="2" t="s">
        <v>73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ht="15" customHeight="1" x14ac:dyDescent="0.2">
      <c r="A3" s="3">
        <v>36799</v>
      </c>
      <c r="B3" s="159">
        <v>-4.1000000000000003E-3</v>
      </c>
      <c r="C3" s="159">
        <v>2.0199999999999999E-2</v>
      </c>
      <c r="D3" s="159">
        <v>6.1000000000000004E-3</v>
      </c>
      <c r="E3" s="159">
        <v>-1.4E-3</v>
      </c>
      <c r="F3" s="159">
        <v>7.4999999999999997E-3</v>
      </c>
      <c r="G3" s="159">
        <v>-7.1000000000000004E-3</v>
      </c>
      <c r="H3" s="159">
        <v>-6.7900000000000002E-2</v>
      </c>
      <c r="I3" s="159">
        <v>-8.6999999999999994E-3</v>
      </c>
      <c r="J3" s="159">
        <v>-3.3399999999999999E-2</v>
      </c>
      <c r="K3" s="159">
        <v>9.8900000000000002E-2</v>
      </c>
      <c r="L3" s="159">
        <v>-5.2960009478408641E-2</v>
      </c>
      <c r="M3" s="159"/>
      <c r="N3" s="159">
        <v>5.0191668669382732E-3</v>
      </c>
      <c r="P3" s="159">
        <f t="shared" ref="P3:P39" si="0">B3-$N3</f>
        <v>-9.1191668669382726E-3</v>
      </c>
      <c r="Q3" s="159">
        <f t="shared" ref="Q3:Q39" si="1">C3-$N3</f>
        <v>1.5180833133061726E-2</v>
      </c>
      <c r="R3" s="159">
        <f t="shared" ref="R3:R39" si="2">D3-$N3</f>
        <v>1.0808331330617272E-3</v>
      </c>
      <c r="S3" s="159">
        <f t="shared" ref="S3:S39" si="3">E3-$N3</f>
        <v>-6.4191668669382734E-3</v>
      </c>
      <c r="T3" s="159">
        <f t="shared" ref="T3:T39" si="4">F3-$N3</f>
        <v>2.4808331330617266E-3</v>
      </c>
      <c r="U3" s="159">
        <f t="shared" ref="U3:U39" si="5">G3-$N3</f>
        <v>-1.2119166866938274E-2</v>
      </c>
      <c r="V3" s="159">
        <f t="shared" ref="V3:V39" si="6">H3-$N3</f>
        <v>-7.2919166866938279E-2</v>
      </c>
      <c r="W3" s="159">
        <f t="shared" ref="W3:W39" si="7">I3-$N3</f>
        <v>-1.3719166866938273E-2</v>
      </c>
      <c r="X3" s="159">
        <f t="shared" ref="X3:X39" si="8">J3-$N3</f>
        <v>-3.8419166866938276E-2</v>
      </c>
      <c r="Y3" s="159">
        <f t="shared" ref="Y3:Y39" si="9">K3-$N3</f>
        <v>9.3880833133061725E-2</v>
      </c>
      <c r="Z3" s="159">
        <f t="shared" ref="Z3:Z39" si="10">L3-$N3</f>
        <v>-5.7979176345346911E-2</v>
      </c>
    </row>
    <row r="4" spans="1:26" ht="15" customHeight="1" x14ac:dyDescent="0.2">
      <c r="A4" s="3">
        <v>36769</v>
      </c>
      <c r="B4" s="159">
        <v>3.39E-2</v>
      </c>
      <c r="C4" s="159">
        <v>1.6899999999999998E-2</v>
      </c>
      <c r="D4" s="159">
        <v>1.7100000000000001E-2</v>
      </c>
      <c r="E4" s="159">
        <v>1.43E-2</v>
      </c>
      <c r="F4" s="159">
        <v>6.7000000000000002E-3</v>
      </c>
      <c r="G4" s="159">
        <v>4.9000000000000002E-2</v>
      </c>
      <c r="H4" s="159">
        <v>4.3200000000000002E-2</v>
      </c>
      <c r="I4" s="159">
        <v>2.92E-2</v>
      </c>
      <c r="J4" s="159">
        <v>1.23E-2</v>
      </c>
      <c r="K4" s="159">
        <v>-7.2300000000000003E-2</v>
      </c>
      <c r="L4" s="159">
        <v>6.1947708250372525E-2</v>
      </c>
      <c r="M4" s="159"/>
      <c r="N4" s="159">
        <v>5.0802083810170488E-3</v>
      </c>
      <c r="P4" s="159">
        <f t="shared" si="0"/>
        <v>2.8819791618982953E-2</v>
      </c>
      <c r="Q4" s="159">
        <f t="shared" si="1"/>
        <v>1.181979161898295E-2</v>
      </c>
      <c r="R4" s="159">
        <f t="shared" si="2"/>
        <v>1.2019791618982952E-2</v>
      </c>
      <c r="S4" s="159">
        <f t="shared" si="3"/>
        <v>9.2197916189829515E-3</v>
      </c>
      <c r="T4" s="159">
        <f t="shared" si="4"/>
        <v>1.6197916189829515E-3</v>
      </c>
      <c r="U4" s="159">
        <f t="shared" si="5"/>
        <v>4.3919791618982955E-2</v>
      </c>
      <c r="V4" s="159">
        <f t="shared" si="6"/>
        <v>3.8119791618982955E-2</v>
      </c>
      <c r="W4" s="159">
        <f t="shared" si="7"/>
        <v>2.411979161898295E-2</v>
      </c>
      <c r="X4" s="159">
        <f t="shared" si="8"/>
        <v>7.2197916189829514E-3</v>
      </c>
      <c r="Y4" s="159">
        <f t="shared" si="9"/>
        <v>-7.7380208381017057E-2</v>
      </c>
      <c r="Z4" s="159">
        <f t="shared" si="10"/>
        <v>5.6867499869355478E-2</v>
      </c>
    </row>
    <row r="5" spans="1:26" ht="15" customHeight="1" x14ac:dyDescent="0.2">
      <c r="A5" s="3">
        <v>36738</v>
      </c>
      <c r="B5" s="159">
        <v>1.1000000000000001E-3</v>
      </c>
      <c r="C5" s="159">
        <v>1.46E-2</v>
      </c>
      <c r="D5" s="159">
        <v>5.0000000000000001E-3</v>
      </c>
      <c r="E5" s="159">
        <v>1.23E-2</v>
      </c>
      <c r="F5" s="159">
        <v>5.4999999999999997E-3</v>
      </c>
      <c r="G5" s="159">
        <v>-6.3E-3</v>
      </c>
      <c r="H5" s="159">
        <v>5.7999999999999996E-3</v>
      </c>
      <c r="I5" s="159">
        <v>1.8100000000000002E-2</v>
      </c>
      <c r="J5" s="159">
        <v>-2.0500000000000001E-2</v>
      </c>
      <c r="K5" s="159">
        <v>3.5900000000000001E-2</v>
      </c>
      <c r="L5" s="159">
        <v>-1.5800873231552787E-2</v>
      </c>
      <c r="M5" s="159"/>
      <c r="N5" s="159">
        <v>4.9374997615814209E-3</v>
      </c>
      <c r="P5" s="159">
        <f t="shared" si="0"/>
        <v>-3.8374997615814206E-3</v>
      </c>
      <c r="Q5" s="159">
        <f t="shared" si="1"/>
        <v>9.6625002384185792E-3</v>
      </c>
      <c r="R5" s="159">
        <f t="shared" si="2"/>
        <v>6.2500238418579206E-5</v>
      </c>
      <c r="S5" s="159">
        <f t="shared" si="3"/>
        <v>7.3625002384185793E-3</v>
      </c>
      <c r="T5" s="159">
        <f t="shared" si="4"/>
        <v>5.6250023841857878E-4</v>
      </c>
      <c r="U5" s="159">
        <f t="shared" si="5"/>
        <v>-1.1237499761581421E-2</v>
      </c>
      <c r="V5" s="159">
        <f t="shared" si="6"/>
        <v>8.625002384185787E-4</v>
      </c>
      <c r="W5" s="159">
        <f t="shared" si="7"/>
        <v>1.3162500238418581E-2</v>
      </c>
      <c r="X5" s="159">
        <f t="shared" si="8"/>
        <v>-2.5437499761581422E-2</v>
      </c>
      <c r="Y5" s="159">
        <f t="shared" si="9"/>
        <v>3.096250023841858E-2</v>
      </c>
      <c r="Z5" s="159">
        <f t="shared" si="10"/>
        <v>-2.0738372993134208E-2</v>
      </c>
    </row>
    <row r="6" spans="1:26" ht="15" customHeight="1" x14ac:dyDescent="0.2">
      <c r="A6" s="3">
        <v>36707</v>
      </c>
      <c r="B6" s="159">
        <v>3.6600000000000001E-2</v>
      </c>
      <c r="C6" s="159">
        <v>1.9699999999999999E-2</v>
      </c>
      <c r="D6" s="159">
        <v>1.9400000000000001E-2</v>
      </c>
      <c r="E6" s="159">
        <v>1.8200000000000001E-2</v>
      </c>
      <c r="F6" s="159">
        <v>9.2999999999999992E-3</v>
      </c>
      <c r="G6" s="159">
        <v>6.13E-2</v>
      </c>
      <c r="H6" s="159">
        <v>5.5300000000000002E-2</v>
      </c>
      <c r="I6" s="159">
        <v>1.32E-2</v>
      </c>
      <c r="J6" s="159">
        <v>-1.12E-2</v>
      </c>
      <c r="K6" s="159">
        <v>-6.9900000000000004E-2</v>
      </c>
      <c r="L6" s="159">
        <v>2.4486650044126961E-2</v>
      </c>
      <c r="M6" s="159"/>
      <c r="N6" s="159">
        <v>4.7800004482269291E-3</v>
      </c>
      <c r="P6" s="159">
        <f t="shared" si="0"/>
        <v>3.1819999551773073E-2</v>
      </c>
      <c r="Q6" s="159">
        <f t="shared" si="1"/>
        <v>1.491999955177307E-2</v>
      </c>
      <c r="R6" s="159">
        <f t="shared" si="2"/>
        <v>1.4619999551773072E-2</v>
      </c>
      <c r="S6" s="159">
        <f t="shared" si="3"/>
        <v>1.3419999551773072E-2</v>
      </c>
      <c r="T6" s="159">
        <f t="shared" si="4"/>
        <v>4.5199995517730702E-3</v>
      </c>
      <c r="U6" s="159">
        <f t="shared" si="5"/>
        <v>5.6519999551773073E-2</v>
      </c>
      <c r="V6" s="159">
        <f t="shared" si="6"/>
        <v>5.0519999551773075E-2</v>
      </c>
      <c r="W6" s="159">
        <f t="shared" si="7"/>
        <v>8.4199995517730709E-3</v>
      </c>
      <c r="X6" s="159">
        <f t="shared" si="8"/>
        <v>-1.5980000448226929E-2</v>
      </c>
      <c r="Y6" s="159">
        <f t="shared" si="9"/>
        <v>-7.4680000448226938E-2</v>
      </c>
      <c r="Z6" s="159">
        <f t="shared" si="10"/>
        <v>1.970664959590003E-2</v>
      </c>
    </row>
    <row r="7" spans="1:26" ht="15" customHeight="1" x14ac:dyDescent="0.2">
      <c r="A7" s="3">
        <v>36677</v>
      </c>
      <c r="B7" s="159">
        <v>-1.17E-2</v>
      </c>
      <c r="C7" s="159">
        <v>1.9400000000000001E-2</v>
      </c>
      <c r="D7" s="159">
        <v>2.0000000000000001E-4</v>
      </c>
      <c r="E7" s="159">
        <v>1.46E-2</v>
      </c>
      <c r="F7" s="159">
        <v>2.0000000000000001E-4</v>
      </c>
      <c r="G7" s="159">
        <v>-3.4500000000000003E-2</v>
      </c>
      <c r="H7" s="159">
        <v>-4.1300000000000003E-2</v>
      </c>
      <c r="I7" s="159">
        <v>2.3199999999999998E-2</v>
      </c>
      <c r="J7" s="159">
        <v>5.7999999999999996E-3</v>
      </c>
      <c r="K7" s="159">
        <v>6.1400000000000003E-2</v>
      </c>
      <c r="L7" s="159">
        <v>-2.0683742041040416E-2</v>
      </c>
      <c r="M7" s="159"/>
      <c r="N7" s="159">
        <v>4.9333333969116214E-3</v>
      </c>
      <c r="P7" s="159">
        <f t="shared" si="0"/>
        <v>-1.6633333396911622E-2</v>
      </c>
      <c r="Q7" s="159">
        <f t="shared" si="1"/>
        <v>1.4466666603088379E-2</v>
      </c>
      <c r="R7" s="159">
        <f t="shared" si="2"/>
        <v>-4.7333333969116218E-3</v>
      </c>
      <c r="S7" s="159">
        <f t="shared" si="3"/>
        <v>9.6666666030883787E-3</v>
      </c>
      <c r="T7" s="159">
        <f t="shared" si="4"/>
        <v>-4.7333333969116218E-3</v>
      </c>
      <c r="U7" s="159">
        <f t="shared" si="5"/>
        <v>-3.9433333396911623E-2</v>
      </c>
      <c r="V7" s="159">
        <f t="shared" si="6"/>
        <v>-4.6233333396911623E-2</v>
      </c>
      <c r="W7" s="159">
        <f t="shared" si="7"/>
        <v>1.8266666603088379E-2</v>
      </c>
      <c r="X7" s="159">
        <f t="shared" si="8"/>
        <v>8.6666660308837816E-4</v>
      </c>
      <c r="Y7" s="159">
        <f t="shared" si="9"/>
        <v>5.6466666603088383E-2</v>
      </c>
      <c r="Z7" s="159">
        <f t="shared" si="10"/>
        <v>-2.5617075437952039E-2</v>
      </c>
    </row>
    <row r="8" spans="1:26" ht="15" customHeight="1" x14ac:dyDescent="0.2">
      <c r="A8" s="3">
        <v>36646</v>
      </c>
      <c r="B8" s="159">
        <v>-4.6300000000000001E-2</v>
      </c>
      <c r="C8" s="159">
        <v>3.5700000000000003E-2</v>
      </c>
      <c r="D8" s="159">
        <v>-7.3000000000000001E-3</v>
      </c>
      <c r="E8" s="159">
        <v>1.44E-2</v>
      </c>
      <c r="F8" s="159">
        <v>9.2999999999999992E-3</v>
      </c>
      <c r="G8" s="159">
        <v>-7.46E-2</v>
      </c>
      <c r="H8" s="159">
        <v>-7.7600000000000002E-2</v>
      </c>
      <c r="I8" s="159">
        <v>-5.3499999999999999E-2</v>
      </c>
      <c r="J8" s="159">
        <v>-2.2800000000000001E-2</v>
      </c>
      <c r="K8" s="159">
        <v>2.29E-2</v>
      </c>
      <c r="L8" s="159">
        <v>-3.025237781578995E-2</v>
      </c>
      <c r="M8" s="159"/>
      <c r="N8" s="159">
        <v>4.7208333015441896E-3</v>
      </c>
      <c r="P8" s="159">
        <f t="shared" si="0"/>
        <v>-5.1020833301544194E-2</v>
      </c>
      <c r="Q8" s="159">
        <f t="shared" si="1"/>
        <v>3.0979166698455813E-2</v>
      </c>
      <c r="R8" s="159">
        <f t="shared" si="2"/>
        <v>-1.2020833301544191E-2</v>
      </c>
      <c r="S8" s="159">
        <f t="shared" si="3"/>
        <v>9.67916669845581E-3</v>
      </c>
      <c r="T8" s="159">
        <f t="shared" si="4"/>
        <v>4.5791666984558096E-3</v>
      </c>
      <c r="U8" s="159">
        <f t="shared" si="5"/>
        <v>-7.9320833301544186E-2</v>
      </c>
      <c r="V8" s="159">
        <f t="shared" si="6"/>
        <v>-8.2320833301544188E-2</v>
      </c>
      <c r="W8" s="159">
        <f t="shared" si="7"/>
        <v>-5.8220833301544192E-2</v>
      </c>
      <c r="X8" s="159">
        <f t="shared" si="8"/>
        <v>-2.752083330154419E-2</v>
      </c>
      <c r="Y8" s="159">
        <f t="shared" si="9"/>
        <v>1.8179166698455811E-2</v>
      </c>
      <c r="Z8" s="159">
        <f t="shared" si="10"/>
        <v>-3.497321111733414E-2</v>
      </c>
    </row>
    <row r="9" spans="1:26" ht="15" customHeight="1" x14ac:dyDescent="0.2">
      <c r="A9" s="3">
        <v>36616</v>
      </c>
      <c r="B9" s="159">
        <v>-2.12E-2</v>
      </c>
      <c r="C9" s="159">
        <v>3.4599999999999999E-2</v>
      </c>
      <c r="D9" s="159">
        <v>6.0000000000000001E-3</v>
      </c>
      <c r="E9" s="159">
        <v>2.24E-2</v>
      </c>
      <c r="F9" s="159">
        <v>-1.5E-3</v>
      </c>
      <c r="G9" s="159">
        <v>-3.9800000000000002E-2</v>
      </c>
      <c r="H9" s="159">
        <v>3.1E-2</v>
      </c>
      <c r="I9" s="159">
        <v>-2.4500000000000001E-2</v>
      </c>
      <c r="J9" s="159">
        <v>-1.3100000000000001E-2</v>
      </c>
      <c r="K9" s="159">
        <v>-5.9400000000000001E-2</v>
      </c>
      <c r="L9" s="159">
        <v>9.7661896024367353E-2</v>
      </c>
      <c r="M9" s="159"/>
      <c r="N9" s="159">
        <v>4.7649999459584555E-3</v>
      </c>
      <c r="P9" s="159">
        <f t="shared" si="0"/>
        <v>-2.5964999945958456E-2</v>
      </c>
      <c r="Q9" s="159">
        <f t="shared" si="1"/>
        <v>2.9835000054041542E-2</v>
      </c>
      <c r="R9" s="159">
        <f t="shared" si="2"/>
        <v>1.2350000540415447E-3</v>
      </c>
      <c r="S9" s="159">
        <f t="shared" si="3"/>
        <v>1.7635000054041543E-2</v>
      </c>
      <c r="T9" s="159">
        <f t="shared" si="4"/>
        <v>-6.2649999459584559E-3</v>
      </c>
      <c r="U9" s="159">
        <f t="shared" si="5"/>
        <v>-4.4564999945958458E-2</v>
      </c>
      <c r="V9" s="159">
        <f t="shared" si="6"/>
        <v>2.6235000054041543E-2</v>
      </c>
      <c r="W9" s="159">
        <f t="shared" si="7"/>
        <v>-2.9264999945958457E-2</v>
      </c>
      <c r="X9" s="159">
        <f t="shared" si="8"/>
        <v>-1.7864999945958457E-2</v>
      </c>
      <c r="Y9" s="159">
        <f t="shared" si="9"/>
        <v>-6.4164999945958451E-2</v>
      </c>
      <c r="Z9" s="159">
        <f t="shared" si="10"/>
        <v>9.2896896078408897E-2</v>
      </c>
    </row>
    <row r="10" spans="1:26" ht="15" customHeight="1" x14ac:dyDescent="0.2">
      <c r="A10" s="3">
        <v>36585</v>
      </c>
      <c r="B10" s="159">
        <v>6.4899999999999999E-2</v>
      </c>
      <c r="C10" s="159">
        <v>3.3700000000000001E-2</v>
      </c>
      <c r="D10" s="159">
        <v>2.3E-2</v>
      </c>
      <c r="E10" s="159">
        <v>7.9000000000000008E-3</v>
      </c>
      <c r="F10" s="159">
        <v>5.7000000000000002E-3</v>
      </c>
      <c r="G10" s="159">
        <v>0.1114</v>
      </c>
      <c r="H10" s="159">
        <v>6.0400000000000002E-2</v>
      </c>
      <c r="I10" s="159">
        <v>4.4299999999999999E-2</v>
      </c>
      <c r="J10" s="159">
        <v>-2.1000000000000001E-2</v>
      </c>
      <c r="K10" s="159">
        <v>-8.6499999999999994E-2</v>
      </c>
      <c r="L10" s="159">
        <v>-1.9096359281836301E-2</v>
      </c>
      <c r="M10" s="159"/>
      <c r="N10" s="159">
        <v>4.6375000476837156E-3</v>
      </c>
      <c r="P10" s="159">
        <f t="shared" si="0"/>
        <v>6.0262499952316285E-2</v>
      </c>
      <c r="Q10" s="159">
        <f t="shared" si="1"/>
        <v>2.9062499952316287E-2</v>
      </c>
      <c r="R10" s="159">
        <f t="shared" si="2"/>
        <v>1.8362499952316286E-2</v>
      </c>
      <c r="S10" s="159">
        <f t="shared" si="3"/>
        <v>3.2624999523162852E-3</v>
      </c>
      <c r="T10" s="159">
        <f t="shared" si="4"/>
        <v>1.0624999523162846E-3</v>
      </c>
      <c r="U10" s="159">
        <f t="shared" si="5"/>
        <v>0.10676249995231628</v>
      </c>
      <c r="V10" s="159">
        <f t="shared" si="6"/>
        <v>5.5762499952316288E-2</v>
      </c>
      <c r="W10" s="159">
        <f t="shared" si="7"/>
        <v>3.9662499952316285E-2</v>
      </c>
      <c r="X10" s="159">
        <f t="shared" si="8"/>
        <v>-2.5637500047683719E-2</v>
      </c>
      <c r="Y10" s="159">
        <f t="shared" si="9"/>
        <v>-9.1137500047683714E-2</v>
      </c>
      <c r="Z10" s="159">
        <f t="shared" si="10"/>
        <v>-2.3733859329520018E-2</v>
      </c>
    </row>
    <row r="11" spans="1:26" ht="15" customHeight="1" x14ac:dyDescent="0.2">
      <c r="A11" s="3">
        <v>36556</v>
      </c>
      <c r="B11" s="159">
        <v>-1E-3</v>
      </c>
      <c r="C11" s="159">
        <v>2.5899999999999999E-2</v>
      </c>
      <c r="D11" s="159">
        <v>5.1000000000000004E-3</v>
      </c>
      <c r="E11" s="159">
        <v>1.4200000000000001E-2</v>
      </c>
      <c r="F11" s="159">
        <v>5.4000000000000003E-3</v>
      </c>
      <c r="G11" s="159">
        <v>5.1999999999999998E-3</v>
      </c>
      <c r="H11" s="159">
        <v>-1.52E-2</v>
      </c>
      <c r="I11" s="159">
        <v>-2.4199999999999999E-2</v>
      </c>
      <c r="J11" s="159">
        <v>1E-4</v>
      </c>
      <c r="K11" s="159">
        <v>3.7400000000000003E-2</v>
      </c>
      <c r="L11" s="159">
        <v>-5.0409048064519089E-2</v>
      </c>
      <c r="M11" s="159"/>
      <c r="N11" s="159">
        <v>4.4458333651224771E-3</v>
      </c>
      <c r="P11" s="159">
        <f t="shared" si="0"/>
        <v>-5.4458333651224771E-3</v>
      </c>
      <c r="Q11" s="159">
        <f t="shared" si="1"/>
        <v>2.1454166634877522E-2</v>
      </c>
      <c r="R11" s="159">
        <f t="shared" si="2"/>
        <v>6.5416663487752325E-4</v>
      </c>
      <c r="S11" s="159">
        <f t="shared" si="3"/>
        <v>9.7541666348775237E-3</v>
      </c>
      <c r="T11" s="159">
        <f t="shared" si="4"/>
        <v>9.5416663487752316E-4</v>
      </c>
      <c r="U11" s="159">
        <f t="shared" si="5"/>
        <v>7.5416663487752264E-4</v>
      </c>
      <c r="V11" s="159">
        <f t="shared" si="6"/>
        <v>-1.9645833365122475E-2</v>
      </c>
      <c r="W11" s="159">
        <f t="shared" si="7"/>
        <v>-2.8645833365122476E-2</v>
      </c>
      <c r="X11" s="159">
        <f t="shared" si="8"/>
        <v>-4.3458333651224769E-3</v>
      </c>
      <c r="Y11" s="159">
        <f t="shared" si="9"/>
        <v>3.2954166634877526E-2</v>
      </c>
      <c r="Z11" s="159">
        <f t="shared" si="10"/>
        <v>-5.4854881429641567E-2</v>
      </c>
    </row>
    <row r="12" spans="1:26" ht="15" customHeight="1" x14ac:dyDescent="0.2">
      <c r="A12" s="3">
        <v>36525</v>
      </c>
      <c r="B12" s="159">
        <v>8.5300000000000001E-2</v>
      </c>
      <c r="C12" s="159">
        <v>8.9999999999999993E-3</v>
      </c>
      <c r="D12" s="159">
        <v>3.09E-2</v>
      </c>
      <c r="E12" s="159">
        <v>9.5999999999999992E-3</v>
      </c>
      <c r="F12" s="159">
        <v>9.7000000000000003E-3</v>
      </c>
      <c r="G12" s="159">
        <v>0.13009999999999999</v>
      </c>
      <c r="H12" s="159">
        <v>0.15340000000000001</v>
      </c>
      <c r="I12" s="159">
        <v>9.2399999999999996E-2</v>
      </c>
      <c r="J12" s="159">
        <v>2.35E-2</v>
      </c>
      <c r="K12" s="159">
        <v>-6.6000000000000003E-2</v>
      </c>
      <c r="L12" s="159">
        <v>5.8729491994810458E-2</v>
      </c>
      <c r="M12" s="159"/>
      <c r="N12" s="159">
        <v>4.3599998950958254E-3</v>
      </c>
      <c r="P12" s="159">
        <f t="shared" si="0"/>
        <v>8.0940000104904181E-2</v>
      </c>
      <c r="Q12" s="159">
        <f t="shared" si="1"/>
        <v>4.6400001049041739E-3</v>
      </c>
      <c r="R12" s="159">
        <f t="shared" si="2"/>
        <v>2.6540000104904177E-2</v>
      </c>
      <c r="S12" s="159">
        <f t="shared" si="3"/>
        <v>5.2400001049041738E-3</v>
      </c>
      <c r="T12" s="159">
        <f t="shared" si="4"/>
        <v>5.3400001049041749E-3</v>
      </c>
      <c r="U12" s="159">
        <f t="shared" si="5"/>
        <v>0.12574000010490416</v>
      </c>
      <c r="V12" s="159">
        <f t="shared" si="6"/>
        <v>0.14904000010490417</v>
      </c>
      <c r="W12" s="159">
        <f t="shared" si="7"/>
        <v>8.8040000104904176E-2</v>
      </c>
      <c r="X12" s="159">
        <f t="shared" si="8"/>
        <v>1.9140000104904173E-2</v>
      </c>
      <c r="Y12" s="159">
        <f t="shared" si="9"/>
        <v>-7.0359999895095823E-2</v>
      </c>
      <c r="Z12" s="159">
        <f t="shared" si="10"/>
        <v>5.4369492099714631E-2</v>
      </c>
    </row>
    <row r="13" spans="1:26" ht="15" customHeight="1" x14ac:dyDescent="0.2">
      <c r="A13" s="3">
        <v>36494</v>
      </c>
      <c r="B13" s="159">
        <v>4.9599999999999998E-2</v>
      </c>
      <c r="C13" s="159">
        <v>1.2999999999999999E-2</v>
      </c>
      <c r="D13" s="159">
        <v>2.0400000000000001E-2</v>
      </c>
      <c r="E13" s="159">
        <v>1.5599999999999999E-2</v>
      </c>
      <c r="F13" s="159">
        <v>7.7999999999999996E-3</v>
      </c>
      <c r="G13" s="159">
        <v>8.3099999999999993E-2</v>
      </c>
      <c r="H13" s="159">
        <v>9.2899999999999996E-2</v>
      </c>
      <c r="I13" s="159">
        <v>4.3999999999999997E-2</v>
      </c>
      <c r="J13" s="159">
        <v>-5.1999999999999998E-3</v>
      </c>
      <c r="K13" s="159">
        <v>-6.4799999999999996E-2</v>
      </c>
      <c r="L13" s="159">
        <v>2.0161650107227907E-2</v>
      </c>
      <c r="M13" s="159"/>
      <c r="N13" s="159">
        <v>4.2208333810170489E-3</v>
      </c>
      <c r="P13" s="159">
        <f t="shared" si="0"/>
        <v>4.5379166618982947E-2</v>
      </c>
      <c r="Q13" s="159">
        <f t="shared" si="1"/>
        <v>8.7791666189829497E-3</v>
      </c>
      <c r="R13" s="159">
        <f t="shared" si="2"/>
        <v>1.6179166618982953E-2</v>
      </c>
      <c r="S13" s="159">
        <f t="shared" si="3"/>
        <v>1.1379166618982951E-2</v>
      </c>
      <c r="T13" s="159">
        <f t="shared" si="4"/>
        <v>3.5791666189829508E-3</v>
      </c>
      <c r="U13" s="159">
        <f t="shared" si="5"/>
        <v>7.8879166618982949E-2</v>
      </c>
      <c r="V13" s="159">
        <f t="shared" si="6"/>
        <v>8.8679166618982952E-2</v>
      </c>
      <c r="W13" s="159">
        <f t="shared" si="7"/>
        <v>3.9779166618982946E-2</v>
      </c>
      <c r="X13" s="159">
        <f t="shared" si="8"/>
        <v>-9.4208333810170478E-3</v>
      </c>
      <c r="Y13" s="159">
        <f t="shared" si="9"/>
        <v>-6.9020833381017041E-2</v>
      </c>
      <c r="Z13" s="159">
        <f t="shared" si="10"/>
        <v>1.5940816726210859E-2</v>
      </c>
    </row>
    <row r="14" spans="1:26" ht="15" customHeight="1" x14ac:dyDescent="0.2">
      <c r="A14" s="3">
        <v>36464</v>
      </c>
      <c r="B14" s="159">
        <v>2.3699999999999999E-2</v>
      </c>
      <c r="C14" s="159">
        <v>7.0000000000000001E-3</v>
      </c>
      <c r="D14" s="159">
        <v>3.5000000000000001E-3</v>
      </c>
      <c r="E14" s="159">
        <v>8.2000000000000007E-3</v>
      </c>
      <c r="F14" s="159">
        <v>9.1000000000000004E-3</v>
      </c>
      <c r="G14" s="159">
        <v>4.3900000000000002E-2</v>
      </c>
      <c r="H14" s="159">
        <v>3.6600000000000001E-2</v>
      </c>
      <c r="I14" s="159">
        <v>2.4400000000000002E-2</v>
      </c>
      <c r="J14" s="159">
        <v>-4.82E-2</v>
      </c>
      <c r="K14" s="159">
        <v>1.8499999999999999E-2</v>
      </c>
      <c r="L14" s="159">
        <v>6.3114019902753768E-2</v>
      </c>
      <c r="M14" s="159"/>
      <c r="N14" s="159">
        <v>4.036666552225749E-3</v>
      </c>
      <c r="P14" s="159">
        <f t="shared" si="0"/>
        <v>1.966333344777425E-2</v>
      </c>
      <c r="Q14" s="159">
        <f t="shared" si="1"/>
        <v>2.9633334477742511E-3</v>
      </c>
      <c r="R14" s="159">
        <f t="shared" si="2"/>
        <v>-5.3666655222574895E-4</v>
      </c>
      <c r="S14" s="159">
        <f t="shared" si="3"/>
        <v>4.1633334477742517E-3</v>
      </c>
      <c r="T14" s="159">
        <f t="shared" si="4"/>
        <v>5.0633334477742514E-3</v>
      </c>
      <c r="U14" s="159">
        <f t="shared" si="5"/>
        <v>3.9863333447774249E-2</v>
      </c>
      <c r="V14" s="159">
        <f t="shared" si="6"/>
        <v>3.2563333447774248E-2</v>
      </c>
      <c r="W14" s="159">
        <f t="shared" si="7"/>
        <v>2.0363333447774253E-2</v>
      </c>
      <c r="X14" s="159">
        <f t="shared" si="8"/>
        <v>-5.2236666552225752E-2</v>
      </c>
      <c r="Y14" s="159">
        <f t="shared" si="9"/>
        <v>1.446333344777425E-2</v>
      </c>
      <c r="Z14" s="159">
        <f t="shared" si="10"/>
        <v>5.9077353350528022E-2</v>
      </c>
    </row>
    <row r="15" spans="1:26" ht="15" customHeight="1" x14ac:dyDescent="0.2">
      <c r="A15" s="3">
        <v>36433</v>
      </c>
      <c r="B15" s="159">
        <v>-3.2000000000000002E-3</v>
      </c>
      <c r="C15" s="159">
        <v>1.3899999999999999E-2</v>
      </c>
      <c r="D15" s="159">
        <v>1.04E-2</v>
      </c>
      <c r="E15" s="159">
        <v>2.2000000000000001E-3</v>
      </c>
      <c r="F15" s="159">
        <v>7.4000000000000003E-3</v>
      </c>
      <c r="G15" s="159">
        <v>6.0000000000000001E-3</v>
      </c>
      <c r="H15" s="159">
        <v>-6.4999999999999997E-3</v>
      </c>
      <c r="I15" s="159">
        <v>-3.1800000000000002E-2</v>
      </c>
      <c r="J15" s="159">
        <v>1.8100000000000002E-2</v>
      </c>
      <c r="K15" s="159">
        <v>1.7399999999999999E-2</v>
      </c>
      <c r="L15" s="159">
        <v>-2.758065284608659E-2</v>
      </c>
      <c r="M15" s="159"/>
      <c r="N15" s="159">
        <v>3.9416666825612384E-3</v>
      </c>
      <c r="P15" s="159">
        <f t="shared" si="0"/>
        <v>-7.1416666825612381E-3</v>
      </c>
      <c r="Q15" s="159">
        <f t="shared" si="1"/>
        <v>9.9583333174387608E-3</v>
      </c>
      <c r="R15" s="159">
        <f t="shared" si="2"/>
        <v>6.4583333174387612E-3</v>
      </c>
      <c r="S15" s="159">
        <f t="shared" si="3"/>
        <v>-1.7416666825612382E-3</v>
      </c>
      <c r="T15" s="159">
        <f t="shared" si="4"/>
        <v>3.458333317438762E-3</v>
      </c>
      <c r="U15" s="159">
        <f t="shared" si="5"/>
        <v>2.0583333174387618E-3</v>
      </c>
      <c r="V15" s="159">
        <f t="shared" si="6"/>
        <v>-1.0441666682561239E-2</v>
      </c>
      <c r="W15" s="159">
        <f t="shared" si="7"/>
        <v>-3.5741666682561242E-2</v>
      </c>
      <c r="X15" s="159">
        <f t="shared" si="8"/>
        <v>1.4158333317438763E-2</v>
      </c>
      <c r="Y15" s="159">
        <f t="shared" si="9"/>
        <v>1.345833331743876E-2</v>
      </c>
      <c r="Z15" s="159">
        <f t="shared" si="10"/>
        <v>-3.1522319528647827E-2</v>
      </c>
    </row>
    <row r="16" spans="1:26" ht="15" customHeight="1" x14ac:dyDescent="0.2">
      <c r="A16" s="3">
        <v>36403</v>
      </c>
      <c r="B16" s="159">
        <v>-8.9999999999999993E-3</v>
      </c>
      <c r="C16" s="159">
        <v>2.3E-3</v>
      </c>
      <c r="D16" s="159">
        <v>1.1000000000000001E-3</v>
      </c>
      <c r="E16" s="159">
        <v>1.11E-2</v>
      </c>
      <c r="F16" s="159">
        <v>-4.1000000000000003E-3</v>
      </c>
      <c r="G16" s="159">
        <v>-2.7000000000000001E-3</v>
      </c>
      <c r="H16" s="159">
        <v>-2.6599999999999999E-2</v>
      </c>
      <c r="I16" s="159">
        <v>-2.8500000000000001E-2</v>
      </c>
      <c r="J16" s="159">
        <v>-3.2000000000000002E-3</v>
      </c>
      <c r="K16" s="159">
        <v>4.3200000000000002E-2</v>
      </c>
      <c r="L16" s="159">
        <v>-5.1139188929302431E-3</v>
      </c>
      <c r="M16" s="159"/>
      <c r="N16" s="159">
        <v>3.9625000953674317E-3</v>
      </c>
      <c r="P16" s="159">
        <f t="shared" si="0"/>
        <v>-1.2962500095367431E-2</v>
      </c>
      <c r="Q16" s="159">
        <f t="shared" si="1"/>
        <v>-1.6625000953674317E-3</v>
      </c>
      <c r="R16" s="159">
        <f t="shared" si="2"/>
        <v>-2.8625000953674314E-3</v>
      </c>
      <c r="S16" s="159">
        <f t="shared" si="3"/>
        <v>7.1374999046325688E-3</v>
      </c>
      <c r="T16" s="159">
        <f t="shared" si="4"/>
        <v>-8.0625000953674329E-3</v>
      </c>
      <c r="U16" s="159">
        <f t="shared" si="5"/>
        <v>-6.6625000953674319E-3</v>
      </c>
      <c r="V16" s="159">
        <f t="shared" si="6"/>
        <v>-3.0562500095367429E-2</v>
      </c>
      <c r="W16" s="159">
        <f t="shared" si="7"/>
        <v>-3.2462500095367434E-2</v>
      </c>
      <c r="X16" s="159">
        <f t="shared" si="8"/>
        <v>-7.1625000953674314E-3</v>
      </c>
      <c r="Y16" s="159">
        <f t="shared" si="9"/>
        <v>3.9237499904632572E-2</v>
      </c>
      <c r="Z16" s="159">
        <f t="shared" si="10"/>
        <v>-9.0764189882976756E-3</v>
      </c>
    </row>
    <row r="17" spans="1:26" ht="15" customHeight="1" x14ac:dyDescent="0.2">
      <c r="A17" s="3">
        <v>36372</v>
      </c>
      <c r="B17" s="159">
        <v>2.5999999999999999E-3</v>
      </c>
      <c r="C17" s="159">
        <v>1.09E-2</v>
      </c>
      <c r="D17" s="159">
        <v>1.32E-2</v>
      </c>
      <c r="E17" s="159">
        <v>1.66E-2</v>
      </c>
      <c r="F17" s="159">
        <v>4.8999999999999998E-3</v>
      </c>
      <c r="G17" s="159">
        <v>1.54E-2</v>
      </c>
      <c r="H17" s="159">
        <v>-1.55E-2</v>
      </c>
      <c r="I17" s="159">
        <v>-1.9099999999999999E-2</v>
      </c>
      <c r="J17" s="159">
        <v>-7.1999999999999998E-3</v>
      </c>
      <c r="K17" s="159">
        <v>-2.0000000000000001E-4</v>
      </c>
      <c r="L17" s="159">
        <v>-3.1391374051590669E-2</v>
      </c>
      <c r="M17" s="159"/>
      <c r="N17" s="159">
        <v>3.8333332538604738E-3</v>
      </c>
      <c r="P17" s="159">
        <f t="shared" si="0"/>
        <v>-1.233333253860474E-3</v>
      </c>
      <c r="Q17" s="159">
        <f t="shared" si="1"/>
        <v>7.0666667461395261E-3</v>
      </c>
      <c r="R17" s="159">
        <f t="shared" si="2"/>
        <v>9.3666667461395261E-3</v>
      </c>
      <c r="S17" s="159">
        <f t="shared" si="3"/>
        <v>1.2766666746139526E-2</v>
      </c>
      <c r="T17" s="159">
        <f t="shared" si="4"/>
        <v>1.066666746139526E-3</v>
      </c>
      <c r="U17" s="159">
        <f t="shared" si="5"/>
        <v>1.1566666746139527E-2</v>
      </c>
      <c r="V17" s="159">
        <f t="shared" si="6"/>
        <v>-1.9333333253860475E-2</v>
      </c>
      <c r="W17" s="159">
        <f t="shared" si="7"/>
        <v>-2.2933333253860474E-2</v>
      </c>
      <c r="X17" s="159">
        <f t="shared" si="8"/>
        <v>-1.1033333253860474E-2</v>
      </c>
      <c r="Y17" s="159">
        <f t="shared" si="9"/>
        <v>-4.0333332538604735E-3</v>
      </c>
      <c r="Z17" s="159">
        <f t="shared" si="10"/>
        <v>-3.5224707305451144E-2</v>
      </c>
    </row>
    <row r="18" spans="1:26" ht="15" customHeight="1" x14ac:dyDescent="0.2">
      <c r="A18" s="3">
        <v>36341</v>
      </c>
      <c r="B18" s="159">
        <v>3.2800000000000003E-2</v>
      </c>
      <c r="C18" s="159">
        <v>8.0999999999999996E-3</v>
      </c>
      <c r="D18" s="159">
        <v>2.93E-2</v>
      </c>
      <c r="E18" s="159">
        <v>1.9199999999999998E-2</v>
      </c>
      <c r="F18" s="159">
        <v>7.4999999999999997E-3</v>
      </c>
      <c r="G18" s="159">
        <v>4.65E-2</v>
      </c>
      <c r="H18" s="159">
        <v>4.9000000000000002E-2</v>
      </c>
      <c r="I18" s="159">
        <v>3.0200000000000001E-2</v>
      </c>
      <c r="J18" s="159">
        <v>2.76E-2</v>
      </c>
      <c r="K18" s="159">
        <v>-2.3599999999999999E-2</v>
      </c>
      <c r="L18" s="159">
        <v>5.5330680787333476E-2</v>
      </c>
      <c r="M18" s="159"/>
      <c r="N18" s="159">
        <v>3.8250001271565755E-3</v>
      </c>
      <c r="P18" s="159">
        <f t="shared" si="0"/>
        <v>2.8974999872843427E-2</v>
      </c>
      <c r="Q18" s="159">
        <f t="shared" si="1"/>
        <v>4.2749998728434241E-3</v>
      </c>
      <c r="R18" s="159">
        <f t="shared" si="2"/>
        <v>2.5474999872843424E-2</v>
      </c>
      <c r="S18" s="159">
        <f t="shared" si="3"/>
        <v>1.5374999872843423E-2</v>
      </c>
      <c r="T18" s="159">
        <f t="shared" si="4"/>
        <v>3.6749998728434242E-3</v>
      </c>
      <c r="U18" s="159">
        <f t="shared" si="5"/>
        <v>4.2674999872843428E-2</v>
      </c>
      <c r="V18" s="159">
        <f t="shared" si="6"/>
        <v>4.517499987284343E-2</v>
      </c>
      <c r="W18" s="159">
        <f t="shared" si="7"/>
        <v>2.6374999872843426E-2</v>
      </c>
      <c r="X18" s="159">
        <f t="shared" si="8"/>
        <v>2.3774999872843424E-2</v>
      </c>
      <c r="Y18" s="159">
        <f t="shared" si="9"/>
        <v>-2.7425000127156575E-2</v>
      </c>
      <c r="Z18" s="159">
        <f t="shared" si="10"/>
        <v>5.1505680660176897E-2</v>
      </c>
    </row>
    <row r="19" spans="1:26" ht="15" customHeight="1" x14ac:dyDescent="0.2">
      <c r="A19" s="3">
        <v>36311</v>
      </c>
      <c r="B19" s="159">
        <v>1.2999999999999999E-3</v>
      </c>
      <c r="C19" s="159">
        <v>1.89E-2</v>
      </c>
      <c r="D19" s="159">
        <v>2.1700000000000001E-2</v>
      </c>
      <c r="E19" s="159">
        <v>1.44E-2</v>
      </c>
      <c r="F19" s="159">
        <v>8.8000000000000005E-3</v>
      </c>
      <c r="G19" s="159">
        <v>-8.2000000000000007E-3</v>
      </c>
      <c r="H19" s="159">
        <v>-1.23E-2</v>
      </c>
      <c r="I19" s="159">
        <v>-5.0000000000000001E-4</v>
      </c>
      <c r="J19" s="159">
        <v>-2.93E-2</v>
      </c>
      <c r="K19" s="159">
        <v>4.3E-3</v>
      </c>
      <c r="L19" s="159">
        <v>-2.3780338797778206E-2</v>
      </c>
      <c r="M19" s="159"/>
      <c r="N19" s="159">
        <v>3.7562501430511474E-3</v>
      </c>
      <c r="P19" s="159">
        <f t="shared" si="0"/>
        <v>-2.4562501430511474E-3</v>
      </c>
      <c r="Q19" s="159">
        <f t="shared" si="1"/>
        <v>1.5143749856948854E-2</v>
      </c>
      <c r="R19" s="159">
        <f t="shared" si="2"/>
        <v>1.7943749856948854E-2</v>
      </c>
      <c r="S19" s="159">
        <f t="shared" si="3"/>
        <v>1.0643749856948853E-2</v>
      </c>
      <c r="T19" s="159">
        <f t="shared" si="4"/>
        <v>5.0437498569488532E-3</v>
      </c>
      <c r="U19" s="159">
        <f t="shared" si="5"/>
        <v>-1.1956250143051149E-2</v>
      </c>
      <c r="V19" s="159">
        <f t="shared" si="6"/>
        <v>-1.6056250143051148E-2</v>
      </c>
      <c r="W19" s="159">
        <f t="shared" si="7"/>
        <v>-4.2562501430511469E-3</v>
      </c>
      <c r="X19" s="159">
        <f t="shared" si="8"/>
        <v>-3.305625014305115E-2</v>
      </c>
      <c r="Y19" s="159">
        <f t="shared" si="9"/>
        <v>5.4374985694885265E-4</v>
      </c>
      <c r="Z19" s="159">
        <f t="shared" si="10"/>
        <v>-2.7536588940829353E-2</v>
      </c>
    </row>
    <row r="20" spans="1:26" ht="15" customHeight="1" x14ac:dyDescent="0.2">
      <c r="A20" s="3">
        <v>36280</v>
      </c>
      <c r="B20" s="159">
        <v>2.63E-2</v>
      </c>
      <c r="C20" s="159">
        <v>2.1399999999999999E-2</v>
      </c>
      <c r="D20" s="159">
        <v>3.0700000000000002E-2</v>
      </c>
      <c r="E20" s="159">
        <v>2.0199999999999999E-2</v>
      </c>
      <c r="F20" s="159">
        <v>1.6299999999999999E-2</v>
      </c>
      <c r="G20" s="159">
        <v>3.2899999999999999E-2</v>
      </c>
      <c r="H20" s="159">
        <v>6.4899999999999999E-2</v>
      </c>
      <c r="I20" s="159">
        <v>1.7899999999999999E-2</v>
      </c>
      <c r="J20" s="159">
        <v>2.6700000000000002E-2</v>
      </c>
      <c r="K20" s="159">
        <v>-3.7499999999999999E-2</v>
      </c>
      <c r="L20" s="159">
        <v>3.8558826884598198E-2</v>
      </c>
      <c r="M20" s="159"/>
      <c r="N20" s="159">
        <v>3.5683333873748778E-3</v>
      </c>
      <c r="P20" s="159">
        <f t="shared" si="0"/>
        <v>2.2731666612625122E-2</v>
      </c>
      <c r="Q20" s="159">
        <f t="shared" si="1"/>
        <v>1.783166661262512E-2</v>
      </c>
      <c r="R20" s="159">
        <f t="shared" si="2"/>
        <v>2.7131666612625123E-2</v>
      </c>
      <c r="S20" s="159">
        <f t="shared" si="3"/>
        <v>1.6631666612625121E-2</v>
      </c>
      <c r="T20" s="159">
        <f t="shared" si="4"/>
        <v>1.273166661262512E-2</v>
      </c>
      <c r="U20" s="159">
        <f t="shared" si="5"/>
        <v>2.933166661262512E-2</v>
      </c>
      <c r="V20" s="159">
        <f t="shared" si="6"/>
        <v>6.1331666612625124E-2</v>
      </c>
      <c r="W20" s="159">
        <f t="shared" si="7"/>
        <v>1.4331666612625121E-2</v>
      </c>
      <c r="X20" s="159">
        <f t="shared" si="8"/>
        <v>2.3131666612625123E-2</v>
      </c>
      <c r="Y20" s="159">
        <f t="shared" si="9"/>
        <v>-4.1068333387374874E-2</v>
      </c>
      <c r="Z20" s="159">
        <f t="shared" si="10"/>
        <v>3.4990493497223323E-2</v>
      </c>
    </row>
    <row r="21" spans="1:26" ht="15" customHeight="1" x14ac:dyDescent="0.2">
      <c r="A21" s="3">
        <v>36250</v>
      </c>
      <c r="B21" s="159">
        <v>1.2200000000000001E-2</v>
      </c>
      <c r="C21" s="159">
        <v>1.04E-2</v>
      </c>
      <c r="D21" s="159">
        <v>2.3900000000000001E-2</v>
      </c>
      <c r="E21" s="159">
        <v>1.35E-2</v>
      </c>
      <c r="F21" s="159">
        <v>1.34E-2</v>
      </c>
      <c r="G21" s="159">
        <v>3.7600000000000001E-2</v>
      </c>
      <c r="H21" s="159">
        <v>7.4300000000000005E-2</v>
      </c>
      <c r="I21" s="159">
        <v>-0.02</v>
      </c>
      <c r="J21" s="159">
        <v>-1.0699999999999999E-2</v>
      </c>
      <c r="K21" s="159">
        <v>-1.77E-2</v>
      </c>
      <c r="L21" s="159">
        <v>3.9841827982949753E-2</v>
      </c>
      <c r="M21" s="159"/>
      <c r="N21" s="159">
        <v>3.7354167302449544E-3</v>
      </c>
      <c r="P21" s="159">
        <f t="shared" si="0"/>
        <v>8.4645832697550459E-3</v>
      </c>
      <c r="Q21" s="159">
        <f t="shared" si="1"/>
        <v>6.6645832697550447E-3</v>
      </c>
      <c r="R21" s="159">
        <f t="shared" si="2"/>
        <v>2.0164583269755048E-2</v>
      </c>
      <c r="S21" s="159">
        <f t="shared" si="3"/>
        <v>9.764583269755045E-3</v>
      </c>
      <c r="T21" s="159">
        <f t="shared" si="4"/>
        <v>9.6645832697550456E-3</v>
      </c>
      <c r="U21" s="159">
        <f t="shared" si="5"/>
        <v>3.3864583269755048E-2</v>
      </c>
      <c r="V21" s="159">
        <f t="shared" si="6"/>
        <v>7.0564583269755052E-2</v>
      </c>
      <c r="W21" s="159">
        <f t="shared" si="7"/>
        <v>-2.3735416730244954E-2</v>
      </c>
      <c r="X21" s="159">
        <f t="shared" si="8"/>
        <v>-1.4435416730244954E-2</v>
      </c>
      <c r="Y21" s="159">
        <f t="shared" si="9"/>
        <v>-2.1435416730244954E-2</v>
      </c>
      <c r="Z21" s="159">
        <f t="shared" si="10"/>
        <v>3.61064112527048E-2</v>
      </c>
    </row>
    <row r="22" spans="1:26" ht="15" customHeight="1" x14ac:dyDescent="0.2">
      <c r="A22" s="3">
        <v>36219</v>
      </c>
      <c r="B22" s="159">
        <v>-1.3100000000000001E-2</v>
      </c>
      <c r="C22" s="159">
        <v>1.2200000000000001E-2</v>
      </c>
      <c r="D22" s="159">
        <v>-5.0000000000000001E-4</v>
      </c>
      <c r="E22" s="159">
        <v>6.1000000000000004E-3</v>
      </c>
      <c r="F22" s="159">
        <v>1.52E-2</v>
      </c>
      <c r="G22" s="159">
        <v>-3.1399999999999997E-2</v>
      </c>
      <c r="H22" s="159">
        <v>1.17E-2</v>
      </c>
      <c r="I22" s="159">
        <v>-1.6E-2</v>
      </c>
      <c r="J22" s="159">
        <v>-5.4000000000000003E-3</v>
      </c>
      <c r="K22" s="159">
        <v>5.5899999999999998E-2</v>
      </c>
      <c r="L22" s="159">
        <v>-3.1245404411940698E-2</v>
      </c>
      <c r="M22" s="159"/>
      <c r="N22" s="159">
        <v>3.7062501907348631E-3</v>
      </c>
      <c r="P22" s="159">
        <f t="shared" si="0"/>
        <v>-1.6806250190734864E-2</v>
      </c>
      <c r="Q22" s="159">
        <f t="shared" si="1"/>
        <v>8.4937498092651376E-3</v>
      </c>
      <c r="R22" s="159">
        <f t="shared" si="2"/>
        <v>-4.2062501907348636E-3</v>
      </c>
      <c r="S22" s="159">
        <f t="shared" si="3"/>
        <v>2.3937498092651372E-3</v>
      </c>
      <c r="T22" s="159">
        <f t="shared" si="4"/>
        <v>1.1493749809265137E-2</v>
      </c>
      <c r="U22" s="159">
        <f t="shared" si="5"/>
        <v>-3.5106250190734864E-2</v>
      </c>
      <c r="V22" s="159">
        <f t="shared" si="6"/>
        <v>7.9937498092651372E-3</v>
      </c>
      <c r="W22" s="159">
        <f t="shared" si="7"/>
        <v>-1.9706250190734863E-2</v>
      </c>
      <c r="X22" s="159">
        <f t="shared" si="8"/>
        <v>-9.1062501907348634E-3</v>
      </c>
      <c r="Y22" s="159">
        <f t="shared" si="9"/>
        <v>5.2193749809265139E-2</v>
      </c>
      <c r="Z22" s="159">
        <f t="shared" si="10"/>
        <v>-3.4951654602675561E-2</v>
      </c>
    </row>
    <row r="23" spans="1:26" ht="15" customHeight="1" x14ac:dyDescent="0.2">
      <c r="A23" s="3">
        <v>36191</v>
      </c>
      <c r="B23" s="159">
        <v>8.0000000000000002E-3</v>
      </c>
      <c r="C23" s="159">
        <v>2.2700000000000001E-2</v>
      </c>
      <c r="D23" s="159">
        <v>1.8800000000000001E-2</v>
      </c>
      <c r="E23" s="159">
        <v>6.8999999999999999E-3</v>
      </c>
      <c r="F23" s="159">
        <v>1.9E-2</v>
      </c>
      <c r="G23" s="159">
        <v>4.9700000000000001E-2</v>
      </c>
      <c r="H23" s="159">
        <v>-2.92E-2</v>
      </c>
      <c r="I23" s="159">
        <v>-2.8799999999999999E-2</v>
      </c>
      <c r="J23" s="159">
        <v>-3.1399999999999997E-2</v>
      </c>
      <c r="K23" s="159">
        <v>-7.1800000000000003E-2</v>
      </c>
      <c r="L23" s="159">
        <v>4.164935076081553E-2</v>
      </c>
      <c r="M23" s="159"/>
      <c r="N23" s="159">
        <v>3.6466666062672931E-3</v>
      </c>
      <c r="P23" s="159">
        <f t="shared" si="0"/>
        <v>4.3533333937327071E-3</v>
      </c>
      <c r="Q23" s="159">
        <f t="shared" si="1"/>
        <v>1.9053333393732708E-2</v>
      </c>
      <c r="R23" s="159">
        <f t="shared" si="2"/>
        <v>1.5153333393732708E-2</v>
      </c>
      <c r="S23" s="159">
        <f t="shared" si="3"/>
        <v>3.2533333937327068E-3</v>
      </c>
      <c r="T23" s="159">
        <f t="shared" si="4"/>
        <v>1.5353333393732706E-2</v>
      </c>
      <c r="U23" s="159">
        <f t="shared" si="5"/>
        <v>4.6053333393732708E-2</v>
      </c>
      <c r="V23" s="159">
        <f t="shared" si="6"/>
        <v>-3.2846666606267297E-2</v>
      </c>
      <c r="W23" s="159">
        <f t="shared" si="7"/>
        <v>-3.2446666606267292E-2</v>
      </c>
      <c r="X23" s="159">
        <f t="shared" si="8"/>
        <v>-3.504666660626729E-2</v>
      </c>
      <c r="Y23" s="159">
        <f t="shared" si="9"/>
        <v>-7.5446666606267296E-2</v>
      </c>
      <c r="Z23" s="159">
        <f t="shared" si="10"/>
        <v>3.8002684154548237E-2</v>
      </c>
    </row>
    <row r="24" spans="1:26" ht="15" customHeight="1" x14ac:dyDescent="0.2">
      <c r="A24" s="3">
        <v>36160</v>
      </c>
      <c r="B24" s="159">
        <v>3.0300000000000001E-2</v>
      </c>
      <c r="C24" s="159">
        <v>3.5000000000000001E-3</v>
      </c>
      <c r="D24" s="159">
        <v>1.7000000000000001E-2</v>
      </c>
      <c r="E24" s="159">
        <v>1.24E-2</v>
      </c>
      <c r="F24" s="159">
        <v>1.7299999999999999E-2</v>
      </c>
      <c r="G24" s="159">
        <v>6.5600000000000006E-2</v>
      </c>
      <c r="H24" s="159">
        <v>-3.8399999999999997E-2</v>
      </c>
      <c r="I24" s="159">
        <v>2.3400000000000001E-2</v>
      </c>
      <c r="J24" s="159">
        <v>2.8000000000000001E-2</v>
      </c>
      <c r="K24" s="159">
        <v>-5.7500000000000002E-2</v>
      </c>
      <c r="L24" s="159">
        <v>5.7458498388763359E-2</v>
      </c>
      <c r="M24" s="159"/>
      <c r="N24" s="159">
        <v>3.6645833651224773E-3</v>
      </c>
      <c r="P24" s="159">
        <f t="shared" si="0"/>
        <v>2.6635416634877524E-2</v>
      </c>
      <c r="Q24" s="159">
        <f t="shared" si="1"/>
        <v>-1.6458336512247722E-4</v>
      </c>
      <c r="R24" s="159">
        <f t="shared" si="2"/>
        <v>1.3335416634877525E-2</v>
      </c>
      <c r="S24" s="159">
        <f t="shared" si="3"/>
        <v>8.7354166348775214E-3</v>
      </c>
      <c r="T24" s="159">
        <f t="shared" si="4"/>
        <v>1.3635416634877523E-2</v>
      </c>
      <c r="U24" s="159">
        <f t="shared" si="5"/>
        <v>6.1935416634877526E-2</v>
      </c>
      <c r="V24" s="159">
        <f t="shared" si="6"/>
        <v>-4.2064583365122477E-2</v>
      </c>
      <c r="W24" s="159">
        <f t="shared" si="7"/>
        <v>1.9735416634877524E-2</v>
      </c>
      <c r="X24" s="159">
        <f t="shared" si="8"/>
        <v>2.4335416634877524E-2</v>
      </c>
      <c r="Y24" s="159">
        <f t="shared" si="9"/>
        <v>-6.1164583365122482E-2</v>
      </c>
      <c r="Z24" s="159">
        <f t="shared" si="10"/>
        <v>5.3793915023640879E-2</v>
      </c>
    </row>
    <row r="25" spans="1:26" ht="15" customHeight="1" x14ac:dyDescent="0.2">
      <c r="A25" s="3">
        <v>36129</v>
      </c>
      <c r="B25" s="159">
        <v>1.3599999999999999E-2</v>
      </c>
      <c r="C25" s="159">
        <v>2.06E-2</v>
      </c>
      <c r="D25" s="159">
        <v>2.7699999999999999E-2</v>
      </c>
      <c r="E25" s="159">
        <v>2.1000000000000001E-2</v>
      </c>
      <c r="F25" s="159">
        <v>1.55E-2</v>
      </c>
      <c r="G25" s="159">
        <v>3.7400000000000003E-2</v>
      </c>
      <c r="H25" s="159">
        <v>4.6800000000000001E-2</v>
      </c>
      <c r="I25" s="159">
        <v>-1.0800000000000001E-2</v>
      </c>
      <c r="J25" s="159">
        <v>-1.7999999999999999E-2</v>
      </c>
      <c r="K25" s="159">
        <v>-7.1199999999999999E-2</v>
      </c>
      <c r="L25" s="159">
        <v>6.0441225820015522E-2</v>
      </c>
      <c r="M25" s="159"/>
      <c r="N25" s="159">
        <v>3.6979166666666666E-3</v>
      </c>
      <c r="P25" s="159">
        <f t="shared" si="0"/>
        <v>9.9020833333333322E-3</v>
      </c>
      <c r="Q25" s="159">
        <f t="shared" si="1"/>
        <v>1.6902083333333335E-2</v>
      </c>
      <c r="R25" s="159">
        <f t="shared" si="2"/>
        <v>2.4002083333333334E-2</v>
      </c>
      <c r="S25" s="159">
        <f t="shared" si="3"/>
        <v>1.7302083333333336E-2</v>
      </c>
      <c r="T25" s="159">
        <f t="shared" si="4"/>
        <v>1.1802083333333333E-2</v>
      </c>
      <c r="U25" s="159">
        <f t="shared" si="5"/>
        <v>3.3702083333333334E-2</v>
      </c>
      <c r="V25" s="159">
        <f t="shared" si="6"/>
        <v>4.3102083333333333E-2</v>
      </c>
      <c r="W25" s="159">
        <f t="shared" si="7"/>
        <v>-1.4497916666666668E-2</v>
      </c>
      <c r="X25" s="159">
        <f t="shared" si="8"/>
        <v>-2.1697916666666664E-2</v>
      </c>
      <c r="Y25" s="159">
        <f t="shared" si="9"/>
        <v>-7.4897916666666661E-2</v>
      </c>
      <c r="Z25" s="159">
        <f t="shared" si="10"/>
        <v>5.6743309153348853E-2</v>
      </c>
    </row>
    <row r="26" spans="1:26" ht="15" customHeight="1" x14ac:dyDescent="0.2">
      <c r="A26" s="3">
        <v>36099</v>
      </c>
      <c r="B26" s="159">
        <v>-4.5699999999999998E-2</v>
      </c>
      <c r="C26" s="159">
        <v>-4.6800000000000001E-2</v>
      </c>
      <c r="D26" s="159">
        <v>6.6E-3</v>
      </c>
      <c r="E26" s="159">
        <v>2.4799999999999999E-2</v>
      </c>
      <c r="F26" s="159">
        <v>-6.9599999999999995E-2</v>
      </c>
      <c r="G26" s="159">
        <v>1.7399999999999999E-2</v>
      </c>
      <c r="H26" s="159">
        <v>1.6799999999999999E-2</v>
      </c>
      <c r="I26" s="159">
        <v>-0.11550000000000001</v>
      </c>
      <c r="J26" s="159">
        <v>1.21E-2</v>
      </c>
      <c r="K26" s="159">
        <v>-8.6900000000000005E-2</v>
      </c>
      <c r="L26" s="159">
        <v>8.1175322537221803E-2</v>
      </c>
      <c r="M26" s="159"/>
      <c r="N26" s="159">
        <v>3.4033334255218505E-3</v>
      </c>
      <c r="P26" s="159">
        <f t="shared" si="0"/>
        <v>-4.9103333425521846E-2</v>
      </c>
      <c r="Q26" s="159">
        <f t="shared" si="1"/>
        <v>-5.020333342552185E-2</v>
      </c>
      <c r="R26" s="159">
        <f t="shared" si="2"/>
        <v>3.1966665744781494E-3</v>
      </c>
      <c r="S26" s="159">
        <f t="shared" si="3"/>
        <v>2.1396666574478147E-2</v>
      </c>
      <c r="T26" s="159">
        <f t="shared" si="4"/>
        <v>-7.3003333425521844E-2</v>
      </c>
      <c r="U26" s="159">
        <f t="shared" si="5"/>
        <v>1.3996666574478149E-2</v>
      </c>
      <c r="V26" s="159">
        <f t="shared" si="6"/>
        <v>1.3396666574478149E-2</v>
      </c>
      <c r="W26" s="159">
        <f t="shared" si="7"/>
        <v>-0.11890333342552185</v>
      </c>
      <c r="X26" s="159">
        <f t="shared" si="8"/>
        <v>8.6966665744781495E-3</v>
      </c>
      <c r="Y26" s="159">
        <f t="shared" si="9"/>
        <v>-9.0303333425521853E-2</v>
      </c>
      <c r="Z26" s="159">
        <f t="shared" si="10"/>
        <v>7.7771989111699955E-2</v>
      </c>
    </row>
    <row r="27" spans="1:26" ht="15" customHeight="1" x14ac:dyDescent="0.2">
      <c r="A27" s="3">
        <v>36068</v>
      </c>
      <c r="B27" s="159">
        <v>-2.3099999999999999E-2</v>
      </c>
      <c r="C27" s="159">
        <v>-3.2300000000000002E-2</v>
      </c>
      <c r="D27" s="159">
        <v>-2.9600000000000001E-2</v>
      </c>
      <c r="E27" s="159">
        <v>9.4999999999999998E-3</v>
      </c>
      <c r="F27" s="159">
        <v>-3.7400000000000003E-2</v>
      </c>
      <c r="G27" s="159">
        <v>3.4700000000000002E-2</v>
      </c>
      <c r="H27" s="159">
        <v>-7.3999999999999996E-2</v>
      </c>
      <c r="I27" s="159">
        <v>-5.1200000000000002E-2</v>
      </c>
      <c r="J27" s="159">
        <v>6.8699999999999997E-2</v>
      </c>
      <c r="K27" s="159">
        <v>-4.9799999999999997E-2</v>
      </c>
      <c r="L27" s="159">
        <v>6.3893727303828682E-2</v>
      </c>
      <c r="M27" s="159"/>
      <c r="N27" s="159">
        <v>3.9520831902821862E-3</v>
      </c>
      <c r="P27" s="159">
        <f t="shared" si="0"/>
        <v>-2.7052083190282183E-2</v>
      </c>
      <c r="Q27" s="159">
        <f t="shared" si="1"/>
        <v>-3.625208319028219E-2</v>
      </c>
      <c r="R27" s="159">
        <f t="shared" si="2"/>
        <v>-3.3552083190282189E-2</v>
      </c>
      <c r="S27" s="159">
        <f t="shared" si="3"/>
        <v>5.5479168097178136E-3</v>
      </c>
      <c r="T27" s="159">
        <f t="shared" si="4"/>
        <v>-4.1352083190282191E-2</v>
      </c>
      <c r="U27" s="159">
        <f t="shared" si="5"/>
        <v>3.0747916809717814E-2</v>
      </c>
      <c r="V27" s="159">
        <f t="shared" si="6"/>
        <v>-7.7952083190282184E-2</v>
      </c>
      <c r="W27" s="159">
        <f t="shared" si="7"/>
        <v>-5.515208319028219E-2</v>
      </c>
      <c r="X27" s="159">
        <f t="shared" si="8"/>
        <v>6.4747916809717809E-2</v>
      </c>
      <c r="Y27" s="159">
        <f t="shared" si="9"/>
        <v>-5.3752083190282185E-2</v>
      </c>
      <c r="Z27" s="159">
        <f t="shared" si="10"/>
        <v>5.9941644113546494E-2</v>
      </c>
    </row>
    <row r="28" spans="1:26" ht="15" customHeight="1" x14ac:dyDescent="0.2">
      <c r="A28" s="3">
        <v>36038</v>
      </c>
      <c r="B28" s="159">
        <v>-7.5499999999999998E-2</v>
      </c>
      <c r="C28" s="159">
        <v>-4.6399999999999997E-2</v>
      </c>
      <c r="D28" s="159">
        <v>-0.1177</v>
      </c>
      <c r="E28" s="159">
        <v>-8.5000000000000006E-3</v>
      </c>
      <c r="F28" s="159">
        <v>-1.46E-2</v>
      </c>
      <c r="G28" s="159">
        <v>-0.1143</v>
      </c>
      <c r="H28" s="159">
        <v>-0.2303</v>
      </c>
      <c r="I28" s="159">
        <v>-4.8399999999999999E-2</v>
      </c>
      <c r="J28" s="159">
        <v>9.9500000000000005E-2</v>
      </c>
      <c r="K28" s="159">
        <v>0.2271</v>
      </c>
      <c r="L28" s="159">
        <v>-0.14474384885086725</v>
      </c>
      <c r="M28" s="159"/>
      <c r="N28" s="159">
        <v>4.1145833333333329E-3</v>
      </c>
      <c r="P28" s="159">
        <f t="shared" si="0"/>
        <v>-7.9614583333333336E-2</v>
      </c>
      <c r="Q28" s="159">
        <f t="shared" si="1"/>
        <v>-5.0514583333333328E-2</v>
      </c>
      <c r="R28" s="159">
        <f t="shared" si="2"/>
        <v>-0.12181458333333334</v>
      </c>
      <c r="S28" s="159">
        <f t="shared" si="3"/>
        <v>-1.2614583333333334E-2</v>
      </c>
      <c r="T28" s="159">
        <f t="shared" si="4"/>
        <v>-1.8714583333333333E-2</v>
      </c>
      <c r="U28" s="159">
        <f t="shared" si="5"/>
        <v>-0.11841458333333334</v>
      </c>
      <c r="V28" s="159">
        <f t="shared" si="6"/>
        <v>-0.23441458333333334</v>
      </c>
      <c r="W28" s="159">
        <f t="shared" si="7"/>
        <v>-5.251458333333333E-2</v>
      </c>
      <c r="X28" s="159">
        <f t="shared" si="8"/>
        <v>9.5385416666666667E-2</v>
      </c>
      <c r="Y28" s="159">
        <f t="shared" si="9"/>
        <v>0.22298541666666666</v>
      </c>
      <c r="Z28" s="159">
        <f t="shared" si="10"/>
        <v>-0.14885843218420058</v>
      </c>
    </row>
    <row r="29" spans="1:26" ht="15" customHeight="1" x14ac:dyDescent="0.2">
      <c r="A29" s="3">
        <v>36007</v>
      </c>
      <c r="B29" s="159">
        <v>8.9999999999999993E-3</v>
      </c>
      <c r="C29" s="159">
        <v>5.1999999999999998E-3</v>
      </c>
      <c r="D29" s="159">
        <v>4.0000000000000002E-4</v>
      </c>
      <c r="E29" s="159">
        <v>-1E-3</v>
      </c>
      <c r="F29" s="159">
        <v>4.7999999999999996E-3</v>
      </c>
      <c r="G29" s="159">
        <v>6.1000000000000004E-3</v>
      </c>
      <c r="H29" s="159">
        <v>8.0000000000000004E-4</v>
      </c>
      <c r="I29" s="159">
        <v>1.7999999999999999E-2</v>
      </c>
      <c r="J29" s="159">
        <v>-1.12E-2</v>
      </c>
      <c r="K29" s="159">
        <v>2.7199999999999998E-2</v>
      </c>
      <c r="L29" s="159">
        <v>-1.081505403773155E-2</v>
      </c>
      <c r="M29" s="159"/>
      <c r="N29" s="159">
        <v>4.1349999109903971E-3</v>
      </c>
      <c r="P29" s="159">
        <f t="shared" si="0"/>
        <v>4.8650000890096022E-3</v>
      </c>
      <c r="Q29" s="159">
        <f t="shared" si="1"/>
        <v>1.0650000890096026E-3</v>
      </c>
      <c r="R29" s="159">
        <f t="shared" si="2"/>
        <v>-3.734999910990397E-3</v>
      </c>
      <c r="S29" s="159">
        <f t="shared" si="3"/>
        <v>-5.1349999109903972E-3</v>
      </c>
      <c r="T29" s="159">
        <f t="shared" si="4"/>
        <v>6.6500008900960243E-4</v>
      </c>
      <c r="U29" s="159">
        <f t="shared" si="5"/>
        <v>1.9650000890096032E-3</v>
      </c>
      <c r="V29" s="159">
        <f t="shared" si="6"/>
        <v>-3.3349999109903972E-3</v>
      </c>
      <c r="W29" s="159">
        <f t="shared" si="7"/>
        <v>1.3865000089009601E-2</v>
      </c>
      <c r="X29" s="159">
        <f t="shared" si="8"/>
        <v>-1.5334999910990396E-2</v>
      </c>
      <c r="Y29" s="159">
        <f t="shared" si="9"/>
        <v>2.30650000890096E-2</v>
      </c>
      <c r="Z29" s="159">
        <f t="shared" si="10"/>
        <v>-1.4950053948721946E-2</v>
      </c>
    </row>
    <row r="30" spans="1:26" ht="15" customHeight="1" x14ac:dyDescent="0.2">
      <c r="A30" s="3">
        <v>35976</v>
      </c>
      <c r="B30" s="159">
        <v>1.5900000000000001E-2</v>
      </c>
      <c r="C30" s="159">
        <v>-3.7000000000000002E-3</v>
      </c>
      <c r="D30" s="159">
        <v>-7.9000000000000008E-3</v>
      </c>
      <c r="E30" s="159">
        <v>4.7000000000000002E-3</v>
      </c>
      <c r="F30" s="159">
        <v>-1.0800000000000001E-2</v>
      </c>
      <c r="G30" s="159">
        <v>3.4000000000000002E-2</v>
      </c>
      <c r="H30" s="159">
        <v>-4.6800000000000001E-2</v>
      </c>
      <c r="I30" s="159">
        <v>3.2800000000000003E-2</v>
      </c>
      <c r="J30" s="159">
        <v>9.1000000000000004E-3</v>
      </c>
      <c r="K30" s="159">
        <v>-2.3400000000000001E-2</v>
      </c>
      <c r="L30" s="159">
        <v>4.045223091860637E-2</v>
      </c>
      <c r="M30" s="159"/>
      <c r="N30" s="159">
        <v>4.1562501589457197E-3</v>
      </c>
      <c r="P30" s="159">
        <f t="shared" si="0"/>
        <v>1.1743749841054281E-2</v>
      </c>
      <c r="Q30" s="159">
        <f t="shared" si="1"/>
        <v>-7.8562501589457198E-3</v>
      </c>
      <c r="R30" s="159">
        <f t="shared" si="2"/>
        <v>-1.205625015894572E-2</v>
      </c>
      <c r="S30" s="159">
        <f t="shared" si="3"/>
        <v>5.4374984105428053E-4</v>
      </c>
      <c r="T30" s="159">
        <f t="shared" si="4"/>
        <v>-1.495625015894572E-2</v>
      </c>
      <c r="U30" s="159">
        <f t="shared" si="5"/>
        <v>2.9843749841054285E-2</v>
      </c>
      <c r="V30" s="159">
        <f t="shared" si="6"/>
        <v>-5.0956250158945719E-2</v>
      </c>
      <c r="W30" s="159">
        <f t="shared" si="7"/>
        <v>2.8643749841054285E-2</v>
      </c>
      <c r="X30" s="159">
        <f t="shared" si="8"/>
        <v>4.9437498410542808E-3</v>
      </c>
      <c r="Y30" s="159">
        <f t="shared" si="9"/>
        <v>-2.7556250158945722E-2</v>
      </c>
      <c r="Z30" s="159">
        <f t="shared" si="10"/>
        <v>3.6295980759660652E-2</v>
      </c>
    </row>
    <row r="31" spans="1:26" ht="15" customHeight="1" x14ac:dyDescent="0.2">
      <c r="A31" s="3">
        <v>35946</v>
      </c>
      <c r="B31" s="159">
        <v>2.5999999999999999E-3</v>
      </c>
      <c r="C31" s="159">
        <v>6.4999999999999997E-3</v>
      </c>
      <c r="D31" s="159">
        <v>-1.2E-2</v>
      </c>
      <c r="E31" s="159">
        <v>1.3100000000000001E-2</v>
      </c>
      <c r="F31" s="159">
        <v>-2.0999999999999999E-3</v>
      </c>
      <c r="G31" s="159">
        <v>-1.6899999999999998E-2</v>
      </c>
      <c r="H31" s="159">
        <v>-9.7799999999999998E-2</v>
      </c>
      <c r="I31" s="159">
        <v>3.3700000000000001E-2</v>
      </c>
      <c r="J31" s="159">
        <v>3.2500000000000001E-2</v>
      </c>
      <c r="K31" s="159">
        <v>0.1089</v>
      </c>
      <c r="L31" s="159">
        <v>-1.7354587894157465E-2</v>
      </c>
      <c r="M31" s="159"/>
      <c r="N31" s="159">
        <v>4.1733336448669433E-3</v>
      </c>
      <c r="P31" s="159">
        <f t="shared" si="0"/>
        <v>-1.5733336448669434E-3</v>
      </c>
      <c r="Q31" s="159">
        <f t="shared" si="1"/>
        <v>2.3266663551330564E-3</v>
      </c>
      <c r="R31" s="159">
        <f t="shared" si="2"/>
        <v>-1.6173333644866943E-2</v>
      </c>
      <c r="S31" s="159">
        <f t="shared" si="3"/>
        <v>8.9266663551330581E-3</v>
      </c>
      <c r="T31" s="159">
        <f t="shared" si="4"/>
        <v>-6.2733336448669436E-3</v>
      </c>
      <c r="U31" s="159">
        <f t="shared" si="5"/>
        <v>-2.1073333644866941E-2</v>
      </c>
      <c r="V31" s="159">
        <f t="shared" si="6"/>
        <v>-0.10197333364486694</v>
      </c>
      <c r="W31" s="159">
        <f t="shared" si="7"/>
        <v>2.9526666355133058E-2</v>
      </c>
      <c r="X31" s="159">
        <f t="shared" si="8"/>
        <v>2.8326666355133059E-2</v>
      </c>
      <c r="Y31" s="159">
        <f t="shared" si="9"/>
        <v>0.10472666635513306</v>
      </c>
      <c r="Z31" s="159">
        <f t="shared" si="10"/>
        <v>-2.1527921539024407E-2</v>
      </c>
    </row>
    <row r="32" spans="1:26" ht="15" customHeight="1" x14ac:dyDescent="0.2">
      <c r="A32" s="3">
        <v>35915</v>
      </c>
      <c r="B32" s="159">
        <v>9.4999999999999998E-3</v>
      </c>
      <c r="C32" s="159">
        <v>1.2699999999999999E-2</v>
      </c>
      <c r="D32" s="159">
        <v>7.3000000000000001E-3</v>
      </c>
      <c r="E32" s="159">
        <v>2.8999999999999998E-3</v>
      </c>
      <c r="F32" s="159">
        <v>-1E-4</v>
      </c>
      <c r="G32" s="159">
        <v>1.14E-2</v>
      </c>
      <c r="H32" s="159">
        <v>-1.8E-3</v>
      </c>
      <c r="I32" s="159">
        <v>1.5699999999999999E-2</v>
      </c>
      <c r="J32" s="159">
        <v>-4.0300000000000002E-2</v>
      </c>
      <c r="K32" s="159">
        <v>8.6E-3</v>
      </c>
      <c r="L32" s="159">
        <v>9.8941645377208318E-3</v>
      </c>
      <c r="M32" s="159"/>
      <c r="N32" s="159">
        <v>4.1750001907348636E-3</v>
      </c>
      <c r="P32" s="159">
        <f t="shared" si="0"/>
        <v>5.3249998092651362E-3</v>
      </c>
      <c r="Q32" s="159">
        <f t="shared" si="1"/>
        <v>8.5249998092651359E-3</v>
      </c>
      <c r="R32" s="159">
        <f t="shared" si="2"/>
        <v>3.1249998092651365E-3</v>
      </c>
      <c r="S32" s="159">
        <f t="shared" si="3"/>
        <v>-1.2750001907348638E-3</v>
      </c>
      <c r="T32" s="159">
        <f t="shared" si="4"/>
        <v>-4.2750001907348638E-3</v>
      </c>
      <c r="U32" s="159">
        <f t="shared" si="5"/>
        <v>7.2249998092651369E-3</v>
      </c>
      <c r="V32" s="159">
        <f t="shared" si="6"/>
        <v>-5.9750001907348631E-3</v>
      </c>
      <c r="W32" s="159">
        <f t="shared" si="7"/>
        <v>1.1524999809265135E-2</v>
      </c>
      <c r="X32" s="159">
        <f t="shared" si="8"/>
        <v>-4.4475000190734866E-2</v>
      </c>
      <c r="Y32" s="159">
        <f t="shared" si="9"/>
        <v>4.4249998092651364E-3</v>
      </c>
      <c r="Z32" s="159">
        <f t="shared" si="10"/>
        <v>5.7191643469859683E-3</v>
      </c>
    </row>
    <row r="33" spans="1:26" ht="15" customHeight="1" x14ac:dyDescent="0.2">
      <c r="A33" s="3">
        <v>35885</v>
      </c>
      <c r="B33" s="159">
        <v>5.9400000000000001E-2</v>
      </c>
      <c r="C33" s="159">
        <v>1.4200000000000001E-2</v>
      </c>
      <c r="D33" s="159">
        <v>2.4799999999999999E-2</v>
      </c>
      <c r="E33" s="159">
        <v>1.9699999999999999E-2</v>
      </c>
      <c r="F33" s="159">
        <v>1.61E-2</v>
      </c>
      <c r="G33" s="159">
        <v>5.0299999999999997E-2</v>
      </c>
      <c r="H33" s="159">
        <v>3.6299999999999999E-2</v>
      </c>
      <c r="I33" s="159">
        <v>0.1016</v>
      </c>
      <c r="J33" s="159">
        <v>1.06E-2</v>
      </c>
      <c r="K33" s="159">
        <v>-2.4199999999999999E-2</v>
      </c>
      <c r="L33" s="159">
        <v>5.1041479360646382E-2</v>
      </c>
      <c r="M33" s="159"/>
      <c r="N33" s="159">
        <v>4.1895834604899086E-3</v>
      </c>
      <c r="P33" s="159">
        <f t="shared" si="0"/>
        <v>5.5210416539510095E-2</v>
      </c>
      <c r="Q33" s="159">
        <f t="shared" si="1"/>
        <v>1.0010416539510092E-2</v>
      </c>
      <c r="R33" s="159">
        <f t="shared" si="2"/>
        <v>2.0610416539510089E-2</v>
      </c>
      <c r="S33" s="159">
        <f t="shared" si="3"/>
        <v>1.551041653951009E-2</v>
      </c>
      <c r="T33" s="159">
        <f t="shared" si="4"/>
        <v>1.1910416539510091E-2</v>
      </c>
      <c r="U33" s="159">
        <f t="shared" si="5"/>
        <v>4.6110416539510091E-2</v>
      </c>
      <c r="V33" s="159">
        <f t="shared" si="6"/>
        <v>3.2110416539510092E-2</v>
      </c>
      <c r="W33" s="159">
        <f t="shared" si="7"/>
        <v>9.7410416539510089E-2</v>
      </c>
      <c r="X33" s="159">
        <f t="shared" si="8"/>
        <v>6.4104165395100915E-3</v>
      </c>
      <c r="Y33" s="159">
        <f t="shared" si="9"/>
        <v>-2.8389583460489906E-2</v>
      </c>
      <c r="Z33" s="159">
        <f t="shared" si="10"/>
        <v>4.6851895900156475E-2</v>
      </c>
    </row>
    <row r="34" spans="1:26" ht="15" customHeight="1" x14ac:dyDescent="0.2">
      <c r="A34" s="3">
        <v>35854</v>
      </c>
      <c r="B34" s="159">
        <v>1.9599999999999999E-2</v>
      </c>
      <c r="C34" s="159">
        <v>1.6299999999999999E-2</v>
      </c>
      <c r="D34" s="159">
        <v>2.5600000000000001E-2</v>
      </c>
      <c r="E34" s="159">
        <v>1.8499999999999999E-2</v>
      </c>
      <c r="F34" s="159">
        <v>8.0999999999999996E-3</v>
      </c>
      <c r="G34" s="159">
        <v>5.6399999999999999E-2</v>
      </c>
      <c r="H34" s="159">
        <v>0.02</v>
      </c>
      <c r="I34" s="159">
        <v>2.0999999999999999E-3</v>
      </c>
      <c r="J34" s="159">
        <v>-2.8E-3</v>
      </c>
      <c r="K34" s="159">
        <v>-6.8900000000000003E-2</v>
      </c>
      <c r="L34" s="159">
        <v>7.1958628512161824E-2</v>
      </c>
      <c r="M34" s="159"/>
      <c r="N34" s="159">
        <v>4.2541666825612386E-3</v>
      </c>
      <c r="P34" s="159">
        <f t="shared" si="0"/>
        <v>1.5345833317438761E-2</v>
      </c>
      <c r="Q34" s="159">
        <f t="shared" si="1"/>
        <v>1.204583331743876E-2</v>
      </c>
      <c r="R34" s="159">
        <f t="shared" si="2"/>
        <v>2.1345833317438764E-2</v>
      </c>
      <c r="S34" s="159">
        <f t="shared" si="3"/>
        <v>1.424583331743876E-2</v>
      </c>
      <c r="T34" s="159">
        <f t="shared" si="4"/>
        <v>3.8458333174387609E-3</v>
      </c>
      <c r="U34" s="159">
        <f t="shared" si="5"/>
        <v>5.2145833317438758E-2</v>
      </c>
      <c r="V34" s="159">
        <f t="shared" si="6"/>
        <v>1.5745833317438764E-2</v>
      </c>
      <c r="W34" s="159">
        <f t="shared" si="7"/>
        <v>-2.1541666825612388E-3</v>
      </c>
      <c r="X34" s="159">
        <f t="shared" si="8"/>
        <v>-7.054166682561239E-3</v>
      </c>
      <c r="Y34" s="159">
        <f t="shared" si="9"/>
        <v>-7.3154166682561236E-2</v>
      </c>
      <c r="Z34" s="159">
        <f t="shared" si="10"/>
        <v>6.770446182960059E-2</v>
      </c>
    </row>
    <row r="35" spans="1:26" ht="15" customHeight="1" x14ac:dyDescent="0.2">
      <c r="A35" s="3">
        <v>35826</v>
      </c>
      <c r="B35" s="159">
        <v>-1.21E-2</v>
      </c>
      <c r="C35" s="159">
        <v>8.3999999999999995E-3</v>
      </c>
      <c r="D35" s="159">
        <v>1.7299999999999999E-2</v>
      </c>
      <c r="E35" s="159">
        <v>9.1000000000000004E-3</v>
      </c>
      <c r="F35" s="159">
        <v>-8.3999999999999995E-3</v>
      </c>
      <c r="G35" s="159">
        <v>-9.2999999999999992E-3</v>
      </c>
      <c r="H35" s="159">
        <v>-5.8999999999999997E-2</v>
      </c>
      <c r="I35" s="159">
        <v>-2.18E-2</v>
      </c>
      <c r="J35" s="159">
        <v>8.6999999999999994E-3</v>
      </c>
      <c r="K35" s="159">
        <v>-1.0500000000000001E-2</v>
      </c>
      <c r="L35" s="159">
        <v>1.0894133859348879E-2</v>
      </c>
      <c r="M35" s="159"/>
      <c r="N35" s="159">
        <v>4.2383329073588053E-3</v>
      </c>
      <c r="P35" s="159">
        <f t="shared" si="0"/>
        <v>-1.6338332907358803E-2</v>
      </c>
      <c r="Q35" s="159">
        <f t="shared" si="1"/>
        <v>4.1616670926411942E-3</v>
      </c>
      <c r="R35" s="159">
        <f t="shared" si="2"/>
        <v>1.3061667092641194E-2</v>
      </c>
      <c r="S35" s="159">
        <f t="shared" si="3"/>
        <v>4.8616670926411951E-3</v>
      </c>
      <c r="T35" s="159">
        <f t="shared" si="4"/>
        <v>-1.2638332907358805E-2</v>
      </c>
      <c r="U35" s="159">
        <f t="shared" si="5"/>
        <v>-1.3538332907358805E-2</v>
      </c>
      <c r="V35" s="159">
        <f t="shared" si="6"/>
        <v>-6.3238332907358807E-2</v>
      </c>
      <c r="W35" s="159">
        <f t="shared" si="7"/>
        <v>-2.6038332907358804E-2</v>
      </c>
      <c r="X35" s="159">
        <f t="shared" si="8"/>
        <v>4.4616670926411941E-3</v>
      </c>
      <c r="Y35" s="159">
        <f t="shared" si="9"/>
        <v>-1.4738332907358806E-2</v>
      </c>
      <c r="Z35" s="159">
        <f t="shared" si="10"/>
        <v>6.6558009519900735E-3</v>
      </c>
    </row>
    <row r="36" spans="1:26" ht="15" customHeight="1" x14ac:dyDescent="0.2">
      <c r="A36" s="3">
        <v>35795</v>
      </c>
      <c r="B36" s="159">
        <v>3.2199999999999999E-2</v>
      </c>
      <c r="C36" s="159">
        <v>1.01E-2</v>
      </c>
      <c r="D36" s="159">
        <v>1.9099999999999999E-2</v>
      </c>
      <c r="E36" s="159">
        <v>4.0000000000000002E-4</v>
      </c>
      <c r="F36" s="159">
        <v>7.1000000000000004E-3</v>
      </c>
      <c r="G36" s="159">
        <v>1.55E-2</v>
      </c>
      <c r="H36" s="159">
        <v>4.2999999999999997E-2</v>
      </c>
      <c r="I36" s="159">
        <v>5.1400000000000001E-2</v>
      </c>
      <c r="J36" s="159">
        <v>2.8199999999999999E-2</v>
      </c>
      <c r="K36" s="159">
        <v>1.04E-2</v>
      </c>
      <c r="L36" s="159">
        <v>1.7007064549442435E-2</v>
      </c>
      <c r="M36" s="159"/>
      <c r="N36" s="159">
        <v>4.2979168891906739E-3</v>
      </c>
      <c r="P36" s="159">
        <f t="shared" si="0"/>
        <v>2.7902083110809325E-2</v>
      </c>
      <c r="Q36" s="159">
        <f t="shared" si="1"/>
        <v>5.8020831108093257E-3</v>
      </c>
      <c r="R36" s="159">
        <f t="shared" si="2"/>
        <v>1.4802083110809324E-2</v>
      </c>
      <c r="S36" s="159">
        <f t="shared" si="3"/>
        <v>-3.8979168891906738E-3</v>
      </c>
      <c r="T36" s="159">
        <f t="shared" si="4"/>
        <v>2.8020831108093265E-3</v>
      </c>
      <c r="U36" s="159">
        <f t="shared" si="5"/>
        <v>1.1202083110809325E-2</v>
      </c>
      <c r="V36" s="159">
        <f t="shared" si="6"/>
        <v>3.8702083110809325E-2</v>
      </c>
      <c r="W36" s="159">
        <f t="shared" si="7"/>
        <v>4.710208311080933E-2</v>
      </c>
      <c r="X36" s="159">
        <f t="shared" si="8"/>
        <v>2.3902083110809325E-2</v>
      </c>
      <c r="Y36" s="159">
        <f t="shared" si="9"/>
        <v>6.1020831108093256E-3</v>
      </c>
      <c r="Z36" s="159">
        <f t="shared" si="10"/>
        <v>1.270914766025176E-2</v>
      </c>
    </row>
    <row r="37" spans="1:26" ht="15" customHeight="1" x14ac:dyDescent="0.2">
      <c r="A37" s="3">
        <v>35764</v>
      </c>
      <c r="B37" s="159">
        <v>0.01</v>
      </c>
      <c r="C37" s="159">
        <v>-8.2000000000000007E-3</v>
      </c>
      <c r="D37" s="159">
        <v>1.3299999999999999E-2</v>
      </c>
      <c r="E37" s="159">
        <v>-3.8E-3</v>
      </c>
      <c r="F37" s="159">
        <v>4.0000000000000001E-3</v>
      </c>
      <c r="G37" s="159">
        <v>-1.2200000000000001E-2</v>
      </c>
      <c r="H37" s="159">
        <v>-4.7600000000000003E-2</v>
      </c>
      <c r="I37" s="159">
        <v>3.4599999999999999E-2</v>
      </c>
      <c r="J37" s="159">
        <v>-6.7999999999999996E-3</v>
      </c>
      <c r="K37" s="159">
        <v>2.93E-2</v>
      </c>
      <c r="L37" s="159">
        <v>4.6125646408504896E-2</v>
      </c>
      <c r="M37" s="159"/>
      <c r="N37" s="159">
        <v>4.2916667461395264E-3</v>
      </c>
      <c r="P37" s="159">
        <f t="shared" si="0"/>
        <v>5.7083332538604738E-3</v>
      </c>
      <c r="Q37" s="159">
        <f t="shared" si="1"/>
        <v>-1.2491666746139527E-2</v>
      </c>
      <c r="R37" s="159">
        <f t="shared" si="2"/>
        <v>9.0083332538604729E-3</v>
      </c>
      <c r="S37" s="159">
        <f t="shared" si="3"/>
        <v>-8.091666746139526E-3</v>
      </c>
      <c r="T37" s="159">
        <f t="shared" si="4"/>
        <v>-2.9166674613952635E-4</v>
      </c>
      <c r="U37" s="159">
        <f t="shared" si="5"/>
        <v>-1.6491666746139527E-2</v>
      </c>
      <c r="V37" s="159">
        <f t="shared" si="6"/>
        <v>-5.1891666746139528E-2</v>
      </c>
      <c r="W37" s="159">
        <f t="shared" si="7"/>
        <v>3.0308333253860474E-2</v>
      </c>
      <c r="X37" s="159">
        <f t="shared" si="8"/>
        <v>-1.1091666746139525E-2</v>
      </c>
      <c r="Y37" s="159">
        <f t="shared" si="9"/>
        <v>2.5008333253860475E-2</v>
      </c>
      <c r="Z37" s="159">
        <f t="shared" si="10"/>
        <v>4.1833979662365371E-2</v>
      </c>
    </row>
    <row r="38" spans="1:26" ht="15" customHeight="1" x14ac:dyDescent="0.2">
      <c r="A38" s="3">
        <v>35734</v>
      </c>
      <c r="B38" s="159">
        <v>-1.6400000000000001E-2</v>
      </c>
      <c r="C38" s="159">
        <v>4.5999999999999999E-3</v>
      </c>
      <c r="D38" s="159">
        <v>4.4999999999999997E-3</v>
      </c>
      <c r="E38" s="159">
        <v>8.0999999999999996E-3</v>
      </c>
      <c r="F38" s="159">
        <v>-1.5800000000000002E-2</v>
      </c>
      <c r="G38" s="159">
        <v>-8.3999999999999995E-3</v>
      </c>
      <c r="H38" s="159">
        <v>-7.8600000000000003E-2</v>
      </c>
      <c r="I38" s="159">
        <v>-1.89E-2</v>
      </c>
      <c r="J38" s="159">
        <v>-7.3000000000000001E-3</v>
      </c>
      <c r="K38" s="159">
        <v>6.7500000000000004E-2</v>
      </c>
      <c r="L38" s="159">
        <v>-3.356381199723648E-2</v>
      </c>
      <c r="M38" s="159"/>
      <c r="N38" s="159">
        <v>4.1283329327901205E-3</v>
      </c>
      <c r="P38" s="159">
        <f t="shared" si="0"/>
        <v>-2.0528332932790123E-2</v>
      </c>
      <c r="Q38" s="159">
        <f t="shared" si="1"/>
        <v>4.7166706720987942E-4</v>
      </c>
      <c r="R38" s="159">
        <f t="shared" si="2"/>
        <v>3.7166706720987916E-4</v>
      </c>
      <c r="S38" s="159">
        <f t="shared" si="3"/>
        <v>3.9716670672098791E-3</v>
      </c>
      <c r="T38" s="159">
        <f t="shared" si="4"/>
        <v>-1.9928332932790123E-2</v>
      </c>
      <c r="U38" s="159">
        <f t="shared" si="5"/>
        <v>-1.2528332932790119E-2</v>
      </c>
      <c r="V38" s="159">
        <f t="shared" si="6"/>
        <v>-8.2728332932790125E-2</v>
      </c>
      <c r="W38" s="159">
        <f t="shared" si="7"/>
        <v>-2.3028332932790122E-2</v>
      </c>
      <c r="X38" s="159">
        <f t="shared" si="8"/>
        <v>-1.1428332932790121E-2</v>
      </c>
      <c r="Y38" s="159">
        <f t="shared" si="9"/>
        <v>6.3371667067209883E-2</v>
      </c>
      <c r="Z38" s="159">
        <f t="shared" si="10"/>
        <v>-3.7692144930026601E-2</v>
      </c>
    </row>
    <row r="39" spans="1:26" ht="15" customHeight="1" x14ac:dyDescent="0.2">
      <c r="A39" s="3">
        <v>35703</v>
      </c>
      <c r="B39" s="159">
        <v>3.9899999999999998E-2</v>
      </c>
      <c r="C39" s="159">
        <v>1.03E-2</v>
      </c>
      <c r="D39" s="159">
        <v>2.5000000000000001E-2</v>
      </c>
      <c r="E39" s="159">
        <v>1.8100000000000002E-2</v>
      </c>
      <c r="F39" s="159">
        <v>1.15E-2</v>
      </c>
      <c r="G39" s="159">
        <v>5.91E-2</v>
      </c>
      <c r="H39" s="159">
        <v>2.7799999999999998E-2</v>
      </c>
      <c r="I39" s="159">
        <v>4.6300000000000001E-2</v>
      </c>
      <c r="J39" s="159">
        <v>3.6299999999999999E-2</v>
      </c>
      <c r="K39" s="159">
        <v>-3.32E-2</v>
      </c>
      <c r="L39" s="159">
        <v>5.4599930354069161E-2</v>
      </c>
      <c r="M39" s="159"/>
      <c r="N39" s="159">
        <v>4.1437498728434247E-3</v>
      </c>
      <c r="P39" s="159">
        <f t="shared" si="0"/>
        <v>3.5756250127156573E-2</v>
      </c>
      <c r="Q39" s="159">
        <f t="shared" si="1"/>
        <v>6.1562501271565755E-3</v>
      </c>
      <c r="R39" s="159">
        <f t="shared" si="2"/>
        <v>2.0856250127156577E-2</v>
      </c>
      <c r="S39" s="159">
        <f t="shared" si="3"/>
        <v>1.3956250127156577E-2</v>
      </c>
      <c r="T39" s="159">
        <f t="shared" si="4"/>
        <v>7.3562501271565751E-3</v>
      </c>
      <c r="U39" s="159">
        <f t="shared" si="5"/>
        <v>5.4956250127156575E-2</v>
      </c>
      <c r="V39" s="159">
        <f t="shared" si="6"/>
        <v>2.3656250127156574E-2</v>
      </c>
      <c r="W39" s="159">
        <f t="shared" si="7"/>
        <v>4.2156250127156576E-2</v>
      </c>
      <c r="X39" s="159">
        <f t="shared" si="8"/>
        <v>3.2156250127156574E-2</v>
      </c>
      <c r="Y39" s="159">
        <f t="shared" si="9"/>
        <v>-3.7343749872843425E-2</v>
      </c>
      <c r="Z39" s="159">
        <f t="shared" si="10"/>
        <v>5.0456180481225736E-2</v>
      </c>
    </row>
    <row r="40" spans="1:26" ht="15" customHeight="1" x14ac:dyDescent="0.2">
      <c r="A40" s="3">
        <v>35673</v>
      </c>
      <c r="B40" s="159">
        <v>-1.26E-2</v>
      </c>
      <c r="C40" s="159">
        <v>1.7500000000000002E-2</v>
      </c>
      <c r="D40" s="159">
        <v>-2.5999999999999999E-3</v>
      </c>
      <c r="E40" s="159">
        <v>-9.1999999999999998E-3</v>
      </c>
      <c r="F40" s="159">
        <v>8.2000000000000007E-3</v>
      </c>
      <c r="G40" s="159">
        <v>6.1999999999999998E-3</v>
      </c>
      <c r="H40" s="159">
        <v>-3.6499999999999998E-2</v>
      </c>
      <c r="I40" s="159">
        <v>-2.41E-2</v>
      </c>
      <c r="J40" s="159">
        <v>-7.2700000000000001E-2</v>
      </c>
      <c r="K40" s="159">
        <v>-6.9999999999999999E-4</v>
      </c>
      <c r="L40" s="159">
        <v>-5.6188337821870181E-2</v>
      </c>
      <c r="M40" s="159"/>
      <c r="N40" s="159">
        <v>4.2733331521352131E-3</v>
      </c>
      <c r="P40" s="159">
        <f t="shared" ref="P40:P83" si="11">B40-$N40</f>
        <v>-1.6873333152135211E-2</v>
      </c>
      <c r="Q40" s="159">
        <f t="shared" ref="Q40:Q83" si="12">C40-$N40</f>
        <v>1.3226666847864789E-2</v>
      </c>
      <c r="R40" s="159">
        <f t="shared" ref="R40:R83" si="13">D40-$N40</f>
        <v>-6.873333152135213E-3</v>
      </c>
      <c r="S40" s="159">
        <f t="shared" ref="S40:S83" si="14">E40-$N40</f>
        <v>-1.3473333152135213E-2</v>
      </c>
      <c r="T40" s="159">
        <f t="shared" ref="T40:T83" si="15">F40-$N40</f>
        <v>3.9266668478647876E-3</v>
      </c>
      <c r="U40" s="159">
        <f t="shared" ref="U40:U83" si="16">G40-$N40</f>
        <v>1.9266668478647867E-3</v>
      </c>
      <c r="V40" s="159">
        <f t="shared" ref="V40:V83" si="17">H40-$N40</f>
        <v>-4.0773333152135209E-2</v>
      </c>
      <c r="W40" s="159">
        <f t="shared" ref="W40:W83" si="18">I40-$N40</f>
        <v>-2.8373333152135215E-2</v>
      </c>
      <c r="X40" s="159">
        <f t="shared" ref="X40:X83" si="19">J40-$N40</f>
        <v>-7.6973333152135212E-2</v>
      </c>
      <c r="Y40" s="159">
        <f t="shared" ref="Y40:Y83" si="20">K40-$N40</f>
        <v>-4.9733331521352132E-3</v>
      </c>
      <c r="Z40" s="159">
        <f t="shared" ref="Z40:Z83" si="21">L40-$N40</f>
        <v>-6.0461670974005392E-2</v>
      </c>
    </row>
    <row r="41" spans="1:26" ht="15" customHeight="1" x14ac:dyDescent="0.2">
      <c r="A41" s="3">
        <v>35642</v>
      </c>
      <c r="B41" s="159">
        <v>6.9900000000000004E-2</v>
      </c>
      <c r="C41" s="159">
        <v>2.1100000000000001E-2</v>
      </c>
      <c r="D41" s="159">
        <v>3.5799999999999998E-2</v>
      </c>
      <c r="E41" s="159">
        <v>3.2599999999999997E-2</v>
      </c>
      <c r="F41" s="159">
        <v>1.09E-2</v>
      </c>
      <c r="G41" s="159">
        <v>7.0300000000000001E-2</v>
      </c>
      <c r="H41" s="159">
        <v>6.4600000000000005E-2</v>
      </c>
      <c r="I41" s="159">
        <v>0.1013</v>
      </c>
      <c r="J41" s="159">
        <v>5.6899999999999999E-2</v>
      </c>
      <c r="K41" s="159">
        <v>-6.3200000000000006E-2</v>
      </c>
      <c r="L41" s="159">
        <v>7.9400942686756557E-2</v>
      </c>
      <c r="M41" s="159"/>
      <c r="N41" s="159">
        <v>4.2187500000000003E-3</v>
      </c>
      <c r="P41" s="159">
        <f t="shared" si="11"/>
        <v>6.5681249999999997E-2</v>
      </c>
      <c r="Q41" s="159">
        <f t="shared" si="12"/>
        <v>1.688125E-2</v>
      </c>
      <c r="R41" s="159">
        <f t="shared" si="13"/>
        <v>3.1581249999999998E-2</v>
      </c>
      <c r="S41" s="159">
        <f t="shared" si="14"/>
        <v>2.8381249999999997E-2</v>
      </c>
      <c r="T41" s="159">
        <f t="shared" si="15"/>
        <v>6.6812499999999997E-3</v>
      </c>
      <c r="U41" s="159">
        <f t="shared" si="16"/>
        <v>6.6081250000000008E-2</v>
      </c>
      <c r="V41" s="159">
        <f t="shared" si="17"/>
        <v>6.0381250000000004E-2</v>
      </c>
      <c r="W41" s="159">
        <f t="shared" si="18"/>
        <v>9.7081250000000008E-2</v>
      </c>
      <c r="X41" s="159">
        <f t="shared" si="19"/>
        <v>5.2681249999999999E-2</v>
      </c>
      <c r="Y41" s="159">
        <f t="shared" si="20"/>
        <v>-6.741875E-2</v>
      </c>
      <c r="Z41" s="159">
        <f t="shared" si="21"/>
        <v>7.5182192686756549E-2</v>
      </c>
    </row>
    <row r="42" spans="1:26" ht="15" customHeight="1" x14ac:dyDescent="0.2">
      <c r="A42" s="3">
        <v>35611</v>
      </c>
      <c r="B42" s="159">
        <v>2.2599999999999999E-2</v>
      </c>
      <c r="C42" s="159">
        <v>2.0899999999999998E-2</v>
      </c>
      <c r="D42" s="159">
        <v>1.7000000000000001E-2</v>
      </c>
      <c r="E42" s="159">
        <v>1.18E-2</v>
      </c>
      <c r="F42" s="159">
        <v>8.6999999999999994E-3</v>
      </c>
      <c r="G42" s="159">
        <v>2.2800000000000001E-2</v>
      </c>
      <c r="H42" s="159">
        <v>6.8099999999999994E-2</v>
      </c>
      <c r="I42" s="159">
        <v>2.1000000000000001E-2</v>
      </c>
      <c r="J42" s="159">
        <v>2.0999999999999999E-3</v>
      </c>
      <c r="K42" s="159">
        <v>-8.3999999999999995E-3</v>
      </c>
      <c r="L42" s="159">
        <v>4.4635102383669502E-2</v>
      </c>
      <c r="M42" s="159"/>
      <c r="N42" s="159">
        <v>4.1020834445953365E-3</v>
      </c>
      <c r="P42" s="159">
        <f t="shared" si="11"/>
        <v>1.8497916555404663E-2</v>
      </c>
      <c r="Q42" s="159">
        <f t="shared" si="12"/>
        <v>1.6797916555404663E-2</v>
      </c>
      <c r="R42" s="159">
        <f t="shared" si="13"/>
        <v>1.2897916555404666E-2</v>
      </c>
      <c r="S42" s="159">
        <f t="shared" si="14"/>
        <v>7.6979165554046632E-3</v>
      </c>
      <c r="T42" s="159">
        <f t="shared" si="15"/>
        <v>4.5979165554046629E-3</v>
      </c>
      <c r="U42" s="159">
        <f t="shared" si="16"/>
        <v>1.8697916555404665E-2</v>
      </c>
      <c r="V42" s="159">
        <f t="shared" si="17"/>
        <v>6.3997916555404655E-2</v>
      </c>
      <c r="W42" s="159">
        <f t="shared" si="18"/>
        <v>1.6897916555404666E-2</v>
      </c>
      <c r="X42" s="159">
        <f t="shared" si="19"/>
        <v>-2.0020834445953367E-3</v>
      </c>
      <c r="Y42" s="159">
        <f t="shared" si="20"/>
        <v>-1.2502083444595337E-2</v>
      </c>
      <c r="Z42" s="159">
        <f t="shared" si="21"/>
        <v>4.0533018939074163E-2</v>
      </c>
    </row>
    <row r="43" spans="1:26" ht="15" customHeight="1" x14ac:dyDescent="0.2">
      <c r="A43" s="3">
        <v>35581</v>
      </c>
      <c r="B43" s="159">
        <v>8.8000000000000005E-3</v>
      </c>
      <c r="C43" s="159">
        <v>1.6799999999999999E-2</v>
      </c>
      <c r="D43" s="159">
        <v>2.9100000000000001E-2</v>
      </c>
      <c r="E43" s="159">
        <v>3.0300000000000001E-2</v>
      </c>
      <c r="F43" s="159">
        <v>1.01E-2</v>
      </c>
      <c r="G43" s="159">
        <v>5.1400000000000001E-2</v>
      </c>
      <c r="H43" s="159">
        <v>2.9700000000000001E-2</v>
      </c>
      <c r="I43" s="159">
        <v>-2.0199999999999999E-2</v>
      </c>
      <c r="J43" s="159">
        <v>-7.6E-3</v>
      </c>
      <c r="K43" s="159">
        <v>-6.5000000000000002E-2</v>
      </c>
      <c r="L43" s="159">
        <v>6.0716544729755496E-2</v>
      </c>
      <c r="M43" s="159"/>
      <c r="N43" s="159">
        <v>4.2733335494995117E-3</v>
      </c>
      <c r="P43" s="159">
        <f t="shared" si="11"/>
        <v>4.5266664505004888E-3</v>
      </c>
      <c r="Q43" s="159">
        <f t="shared" si="12"/>
        <v>1.2526666450500486E-2</v>
      </c>
      <c r="R43" s="159">
        <f t="shared" si="13"/>
        <v>2.4826666450500488E-2</v>
      </c>
      <c r="S43" s="159">
        <f t="shared" si="14"/>
        <v>2.6026666450500488E-2</v>
      </c>
      <c r="T43" s="159">
        <f t="shared" si="15"/>
        <v>5.8266664505004879E-3</v>
      </c>
      <c r="U43" s="159">
        <f t="shared" si="16"/>
        <v>4.7126666450500489E-2</v>
      </c>
      <c r="V43" s="159">
        <f t="shared" si="17"/>
        <v>2.5426666450500488E-2</v>
      </c>
      <c r="W43" s="159">
        <f t="shared" si="18"/>
        <v>-2.4473333549499512E-2</v>
      </c>
      <c r="X43" s="159">
        <f t="shared" si="19"/>
        <v>-1.1873333549499512E-2</v>
      </c>
      <c r="Y43" s="159">
        <f t="shared" si="20"/>
        <v>-6.9273333549499508E-2</v>
      </c>
      <c r="Z43" s="159">
        <f t="shared" si="21"/>
        <v>5.6443211180255984E-2</v>
      </c>
    </row>
    <row r="44" spans="1:26" ht="15" customHeight="1" x14ac:dyDescent="0.2">
      <c r="A44" s="3">
        <v>35550</v>
      </c>
      <c r="B44" s="159">
        <v>2.86E-2</v>
      </c>
      <c r="C44" s="159">
        <v>1.0200000000000001E-2</v>
      </c>
      <c r="D44" s="159">
        <v>3.3E-3</v>
      </c>
      <c r="E44" s="159">
        <v>1.21E-2</v>
      </c>
      <c r="F44" s="159">
        <v>1.24E-2</v>
      </c>
      <c r="G44" s="159">
        <v>1E-4</v>
      </c>
      <c r="H44" s="159">
        <v>1.9699999999999999E-2</v>
      </c>
      <c r="I44" s="159">
        <v>5.9499999999999997E-2</v>
      </c>
      <c r="J44" s="159">
        <v>-2.69E-2</v>
      </c>
      <c r="K44" s="159">
        <v>-8.0000000000000002E-3</v>
      </c>
      <c r="L44" s="159">
        <v>5.9532213935572266E-2</v>
      </c>
      <c r="M44" s="159"/>
      <c r="N44" s="159">
        <v>4.3083333969116209E-3</v>
      </c>
      <c r="P44" s="159">
        <f t="shared" si="11"/>
        <v>2.4291666603088381E-2</v>
      </c>
      <c r="Q44" s="159">
        <f t="shared" si="12"/>
        <v>5.8916666030883798E-3</v>
      </c>
      <c r="R44" s="159">
        <f t="shared" si="13"/>
        <v>-1.0083333969116209E-3</v>
      </c>
      <c r="S44" s="159">
        <f t="shared" si="14"/>
        <v>7.7916666030883788E-3</v>
      </c>
      <c r="T44" s="159">
        <f t="shared" si="15"/>
        <v>8.0916666030883787E-3</v>
      </c>
      <c r="U44" s="159">
        <f t="shared" si="16"/>
        <v>-4.2083333969116206E-3</v>
      </c>
      <c r="V44" s="159">
        <f t="shared" si="17"/>
        <v>1.5391666603088378E-2</v>
      </c>
      <c r="W44" s="159">
        <f t="shared" si="18"/>
        <v>5.5191666603088378E-2</v>
      </c>
      <c r="X44" s="159">
        <f t="shared" si="19"/>
        <v>-3.1208333396911619E-2</v>
      </c>
      <c r="Y44" s="159">
        <f t="shared" si="20"/>
        <v>-1.2308333396911621E-2</v>
      </c>
      <c r="Z44" s="159">
        <f t="shared" si="21"/>
        <v>5.5223880538660647E-2</v>
      </c>
    </row>
    <row r="45" spans="1:26" ht="15" customHeight="1" x14ac:dyDescent="0.2">
      <c r="A45" s="3">
        <v>35520</v>
      </c>
      <c r="B45" s="159">
        <v>-1.41E-2</v>
      </c>
      <c r="C45" s="159">
        <v>9.4000000000000004E-3</v>
      </c>
      <c r="D45" s="159">
        <v>1.8E-3</v>
      </c>
      <c r="E45" s="159">
        <v>-1.15E-2</v>
      </c>
      <c r="F45" s="159">
        <v>7.1999999999999998E-3</v>
      </c>
      <c r="G45" s="159">
        <v>-2.2700000000000001E-2</v>
      </c>
      <c r="H45" s="159">
        <v>-7.7999999999999996E-3</v>
      </c>
      <c r="I45" s="159">
        <v>-2.1700000000000001E-2</v>
      </c>
      <c r="J45" s="159">
        <v>-9.4999999999999998E-3</v>
      </c>
      <c r="K45" s="159">
        <v>8.0299999999999996E-2</v>
      </c>
      <c r="L45" s="159">
        <v>-4.1254990885562857E-2</v>
      </c>
      <c r="M45" s="159"/>
      <c r="N45" s="159">
        <v>4.2812498410542809E-3</v>
      </c>
      <c r="P45" s="159">
        <f t="shared" si="11"/>
        <v>-1.8381249841054281E-2</v>
      </c>
      <c r="Q45" s="159">
        <f t="shared" si="12"/>
        <v>5.1187501589457195E-3</v>
      </c>
      <c r="R45" s="159">
        <f t="shared" si="13"/>
        <v>-2.4812498410542809E-3</v>
      </c>
      <c r="S45" s="159">
        <f t="shared" si="14"/>
        <v>-1.5781249841054279E-2</v>
      </c>
      <c r="T45" s="159">
        <f t="shared" si="15"/>
        <v>2.9187501589457189E-3</v>
      </c>
      <c r="U45" s="159">
        <f t="shared" si="16"/>
        <v>-2.6981249841054281E-2</v>
      </c>
      <c r="V45" s="159">
        <f t="shared" si="17"/>
        <v>-1.2081249841054281E-2</v>
      </c>
      <c r="W45" s="159">
        <f t="shared" si="18"/>
        <v>-2.598124984105428E-2</v>
      </c>
      <c r="X45" s="159">
        <f t="shared" si="19"/>
        <v>-1.3781249841054281E-2</v>
      </c>
      <c r="Y45" s="159">
        <f t="shared" si="20"/>
        <v>7.6018750158945714E-2</v>
      </c>
      <c r="Z45" s="159">
        <f t="shared" si="21"/>
        <v>-4.553624072661714E-2</v>
      </c>
    </row>
    <row r="46" spans="1:26" ht="15" customHeight="1" x14ac:dyDescent="0.2">
      <c r="A46" s="3">
        <v>35489</v>
      </c>
      <c r="B46" s="159">
        <v>1.2999999999999999E-2</v>
      </c>
      <c r="C46" s="159">
        <v>1.3299999999999999E-2</v>
      </c>
      <c r="D46" s="159">
        <v>1.49E-2</v>
      </c>
      <c r="E46" s="159">
        <v>1.9699999999999999E-2</v>
      </c>
      <c r="F46" s="159">
        <v>1.0999999999999999E-2</v>
      </c>
      <c r="G46" s="159">
        <v>-1.5800000000000002E-2</v>
      </c>
      <c r="H46" s="159">
        <v>7.6899999999999996E-2</v>
      </c>
      <c r="I46" s="159">
        <v>1.8200000000000001E-2</v>
      </c>
      <c r="J46" s="159">
        <v>1.43E-2</v>
      </c>
      <c r="K46" s="159">
        <v>2.5000000000000001E-2</v>
      </c>
      <c r="L46" s="159">
        <v>7.6710434462989681E-3</v>
      </c>
      <c r="M46" s="159"/>
      <c r="N46" s="159">
        <v>4.1687500476837161E-3</v>
      </c>
      <c r="P46" s="159">
        <f t="shared" si="11"/>
        <v>8.8312499523162842E-3</v>
      </c>
      <c r="Q46" s="159">
        <f t="shared" si="12"/>
        <v>9.1312499523162824E-3</v>
      </c>
      <c r="R46" s="159">
        <f t="shared" si="13"/>
        <v>1.0731249952316283E-2</v>
      </c>
      <c r="S46" s="159">
        <f t="shared" si="14"/>
        <v>1.5531249952316282E-2</v>
      </c>
      <c r="T46" s="159">
        <f t="shared" si="15"/>
        <v>6.8312499523162833E-3</v>
      </c>
      <c r="U46" s="159">
        <f t="shared" si="16"/>
        <v>-1.9968750047683718E-2</v>
      </c>
      <c r="V46" s="159">
        <f t="shared" si="17"/>
        <v>7.2731249952316279E-2</v>
      </c>
      <c r="W46" s="159">
        <f t="shared" si="18"/>
        <v>1.4031249952316284E-2</v>
      </c>
      <c r="X46" s="159">
        <f t="shared" si="19"/>
        <v>1.0131249952316283E-2</v>
      </c>
      <c r="Y46" s="159">
        <f t="shared" si="20"/>
        <v>2.0831249952316284E-2</v>
      </c>
      <c r="Z46" s="159">
        <f t="shared" si="21"/>
        <v>3.502293398615252E-3</v>
      </c>
    </row>
    <row r="47" spans="1:26" ht="15" customHeight="1" x14ac:dyDescent="0.2">
      <c r="A47" s="3">
        <v>35461</v>
      </c>
      <c r="B47" s="159">
        <v>5.4800000000000001E-2</v>
      </c>
      <c r="C47" s="159">
        <v>1.03E-2</v>
      </c>
      <c r="D47" s="159">
        <v>2.3E-2</v>
      </c>
      <c r="E47" s="159">
        <v>3.1699999999999999E-2</v>
      </c>
      <c r="F47" s="159">
        <v>1.4800000000000001E-2</v>
      </c>
      <c r="G47" s="159">
        <v>3.49E-2</v>
      </c>
      <c r="H47" s="159">
        <v>9.4600000000000004E-2</v>
      </c>
      <c r="I47" s="159">
        <v>8.2100000000000006E-2</v>
      </c>
      <c r="J47" s="159">
        <v>0.03</v>
      </c>
      <c r="K47" s="159">
        <v>-1.8599999999999998E-2</v>
      </c>
      <c r="L47" s="159">
        <v>6.2308112493757874E-2</v>
      </c>
      <c r="M47" s="159"/>
      <c r="N47" s="159">
        <v>4.2050000031789141E-3</v>
      </c>
      <c r="P47" s="159">
        <f t="shared" si="11"/>
        <v>5.0594999996821086E-2</v>
      </c>
      <c r="Q47" s="159">
        <f t="shared" si="12"/>
        <v>6.094999996821086E-3</v>
      </c>
      <c r="R47" s="159">
        <f t="shared" si="13"/>
        <v>1.8794999996821084E-2</v>
      </c>
      <c r="S47" s="159">
        <f t="shared" si="14"/>
        <v>2.7494999996821083E-2</v>
      </c>
      <c r="T47" s="159">
        <f t="shared" si="15"/>
        <v>1.0594999996821087E-2</v>
      </c>
      <c r="U47" s="159">
        <f t="shared" si="16"/>
        <v>3.0694999996821085E-2</v>
      </c>
      <c r="V47" s="159">
        <f t="shared" si="17"/>
        <v>9.0394999996821088E-2</v>
      </c>
      <c r="W47" s="159">
        <f t="shared" si="18"/>
        <v>7.789499999682109E-2</v>
      </c>
      <c r="X47" s="159">
        <f t="shared" si="19"/>
        <v>2.5794999996821083E-2</v>
      </c>
      <c r="Y47" s="159">
        <f t="shared" si="20"/>
        <v>-2.2805000003178914E-2</v>
      </c>
      <c r="Z47" s="159">
        <f t="shared" si="21"/>
        <v>5.8103112490578958E-2</v>
      </c>
    </row>
    <row r="48" spans="1:26" ht="15" customHeight="1" x14ac:dyDescent="0.2">
      <c r="A48" s="3">
        <v>35430</v>
      </c>
      <c r="B48" s="159">
        <v>3.0999999999999999E-3</v>
      </c>
      <c r="C48" s="159">
        <v>8.5000000000000006E-3</v>
      </c>
      <c r="D48" s="159">
        <v>1.8800000000000001E-2</v>
      </c>
      <c r="E48" s="159">
        <v>9.4999999999999998E-3</v>
      </c>
      <c r="F48" s="159">
        <v>1.7500000000000002E-2</v>
      </c>
      <c r="G48" s="159">
        <v>8.2000000000000007E-3</v>
      </c>
      <c r="H48" s="159">
        <v>2.4299999999999999E-2</v>
      </c>
      <c r="I48" s="159">
        <v>-7.6E-3</v>
      </c>
      <c r="J48" s="159">
        <v>-1.83E-2</v>
      </c>
      <c r="K48" s="159">
        <v>1.3100000000000001E-2</v>
      </c>
      <c r="L48" s="159">
        <v>-1.9980794108332329E-2</v>
      </c>
      <c r="M48" s="159"/>
      <c r="N48" s="159">
        <v>4.0604166189829507E-3</v>
      </c>
      <c r="P48" s="159">
        <f t="shared" si="11"/>
        <v>-9.6041661898295079E-4</v>
      </c>
      <c r="Q48" s="159">
        <f t="shared" si="12"/>
        <v>4.4395833810170499E-3</v>
      </c>
      <c r="R48" s="159">
        <f t="shared" si="13"/>
        <v>1.473958338101705E-2</v>
      </c>
      <c r="S48" s="159">
        <f t="shared" si="14"/>
        <v>5.4395833810170491E-3</v>
      </c>
      <c r="T48" s="159">
        <f t="shared" si="15"/>
        <v>1.3439583381017051E-2</v>
      </c>
      <c r="U48" s="159">
        <f t="shared" si="16"/>
        <v>4.13958338101705E-3</v>
      </c>
      <c r="V48" s="159">
        <f t="shared" si="17"/>
        <v>2.023958338101705E-2</v>
      </c>
      <c r="W48" s="159">
        <f t="shared" si="18"/>
        <v>-1.1660416618982952E-2</v>
      </c>
      <c r="X48" s="159">
        <f t="shared" si="19"/>
        <v>-2.2360416618982949E-2</v>
      </c>
      <c r="Y48" s="159">
        <f t="shared" si="20"/>
        <v>9.0395833810170498E-3</v>
      </c>
      <c r="Z48" s="159">
        <f t="shared" si="21"/>
        <v>-2.4041210727315278E-2</v>
      </c>
    </row>
    <row r="49" spans="1:26" ht="15" customHeight="1" x14ac:dyDescent="0.2">
      <c r="A49" s="3">
        <v>35399</v>
      </c>
      <c r="B49" s="159">
        <v>5.04E-2</v>
      </c>
      <c r="C49" s="159">
        <v>1.35E-2</v>
      </c>
      <c r="D49" s="159">
        <v>2.5399999999999999E-2</v>
      </c>
      <c r="E49" s="159">
        <v>0.02</v>
      </c>
      <c r="F49" s="159">
        <v>1.17E-2</v>
      </c>
      <c r="G49" s="159">
        <v>3.0700000000000002E-2</v>
      </c>
      <c r="H49" s="159">
        <v>2.5999999999999999E-2</v>
      </c>
      <c r="I49" s="159">
        <v>8.1299999999999997E-2</v>
      </c>
      <c r="J49" s="159">
        <v>4.2099999999999999E-2</v>
      </c>
      <c r="K49" s="159">
        <v>-2.9399999999999999E-2</v>
      </c>
      <c r="L49" s="159">
        <v>7.5420065817961332E-2</v>
      </c>
      <c r="M49" s="159"/>
      <c r="N49" s="159">
        <v>4.193333784739176E-3</v>
      </c>
      <c r="P49" s="159">
        <f t="shared" si="11"/>
        <v>4.6206666215260823E-2</v>
      </c>
      <c r="Q49" s="159">
        <f t="shared" si="12"/>
        <v>9.3066662152608247E-3</v>
      </c>
      <c r="R49" s="159">
        <f t="shared" si="13"/>
        <v>2.1206666215260822E-2</v>
      </c>
      <c r="S49" s="159">
        <f t="shared" si="14"/>
        <v>1.5806666215260824E-2</v>
      </c>
      <c r="T49" s="159">
        <f t="shared" si="15"/>
        <v>7.5066662152608243E-3</v>
      </c>
      <c r="U49" s="159">
        <f t="shared" si="16"/>
        <v>2.6506666215260825E-2</v>
      </c>
      <c r="V49" s="159">
        <f t="shared" si="17"/>
        <v>2.1806666215260822E-2</v>
      </c>
      <c r="W49" s="159">
        <f t="shared" si="18"/>
        <v>7.7106666215260827E-2</v>
      </c>
      <c r="X49" s="159">
        <f t="shared" si="19"/>
        <v>3.7906666215260822E-2</v>
      </c>
      <c r="Y49" s="159">
        <f t="shared" si="20"/>
        <v>-3.3593333784739172E-2</v>
      </c>
      <c r="Z49" s="159">
        <f t="shared" si="21"/>
        <v>7.1226732033222162E-2</v>
      </c>
    </row>
    <row r="50" spans="1:26" ht="15" customHeight="1" x14ac:dyDescent="0.2">
      <c r="A50" s="3">
        <v>35369</v>
      </c>
      <c r="B50" s="159">
        <v>3.3500000000000002E-2</v>
      </c>
      <c r="C50" s="159">
        <v>1.44E-2</v>
      </c>
      <c r="D50" s="159">
        <v>1.3899999999999999E-2</v>
      </c>
      <c r="E50" s="159">
        <v>1.11E-2</v>
      </c>
      <c r="F50" s="159">
        <v>1.1599999999999999E-2</v>
      </c>
      <c r="G50" s="159">
        <v>1.9300000000000001E-2</v>
      </c>
      <c r="H50" s="159">
        <v>1.7000000000000001E-2</v>
      </c>
      <c r="I50" s="159">
        <v>5.3100000000000001E-2</v>
      </c>
      <c r="J50" s="159">
        <v>5.5899999999999998E-2</v>
      </c>
      <c r="K50" s="159">
        <v>4.2999999999999997E-2</v>
      </c>
      <c r="L50" s="159">
        <v>2.7413909239429862E-2</v>
      </c>
      <c r="M50" s="159"/>
      <c r="N50" s="159">
        <v>4.1645836830139157E-3</v>
      </c>
      <c r="P50" s="159">
        <f t="shared" si="11"/>
        <v>2.9335416316986086E-2</v>
      </c>
      <c r="Q50" s="159">
        <f t="shared" si="12"/>
        <v>1.0235416316986084E-2</v>
      </c>
      <c r="R50" s="159">
        <f t="shared" si="13"/>
        <v>9.7354163169860834E-3</v>
      </c>
      <c r="S50" s="159">
        <f t="shared" si="14"/>
        <v>6.9354163169860848E-3</v>
      </c>
      <c r="T50" s="159">
        <f t="shared" si="15"/>
        <v>7.4354163169860835E-3</v>
      </c>
      <c r="U50" s="159">
        <f t="shared" si="16"/>
        <v>1.5135416316986085E-2</v>
      </c>
      <c r="V50" s="159">
        <f t="shared" si="17"/>
        <v>1.2835416316986085E-2</v>
      </c>
      <c r="W50" s="159">
        <f t="shared" si="18"/>
        <v>4.8935416316986086E-2</v>
      </c>
      <c r="X50" s="159">
        <f t="shared" si="19"/>
        <v>5.1735416316986083E-2</v>
      </c>
      <c r="Y50" s="159">
        <f t="shared" si="20"/>
        <v>3.8835416316986081E-2</v>
      </c>
      <c r="Z50" s="159">
        <f t="shared" si="21"/>
        <v>2.3249325556415946E-2</v>
      </c>
    </row>
    <row r="51" spans="1:26" ht="15" customHeight="1" x14ac:dyDescent="0.2">
      <c r="A51" s="3">
        <v>35338</v>
      </c>
      <c r="B51" s="159">
        <v>2.5000000000000001E-2</v>
      </c>
      <c r="C51" s="159">
        <v>1.12E-2</v>
      </c>
      <c r="D51" s="159">
        <v>2.23E-2</v>
      </c>
      <c r="E51" s="159">
        <v>1.32E-2</v>
      </c>
      <c r="F51" s="159">
        <v>1.47E-2</v>
      </c>
      <c r="G51" s="159">
        <v>2.5000000000000001E-2</v>
      </c>
      <c r="H51" s="159">
        <v>1.5699999999999999E-2</v>
      </c>
      <c r="I51" s="159">
        <v>3.0099999999999998E-2</v>
      </c>
      <c r="J51" s="159">
        <v>3.2199999999999999E-2</v>
      </c>
      <c r="K51" s="159">
        <v>-5.9299999999999999E-2</v>
      </c>
      <c r="L51" s="159">
        <v>5.6118172076365692E-2</v>
      </c>
      <c r="M51" s="159"/>
      <c r="N51" s="159">
        <v>4.2937501271565759E-3</v>
      </c>
      <c r="P51" s="159">
        <f t="shared" si="11"/>
        <v>2.0706249872843425E-2</v>
      </c>
      <c r="Q51" s="159">
        <f t="shared" si="12"/>
        <v>6.906249872843424E-3</v>
      </c>
      <c r="R51" s="159">
        <f t="shared" si="13"/>
        <v>1.8006249872843424E-2</v>
      </c>
      <c r="S51" s="159">
        <f t="shared" si="14"/>
        <v>8.906249872843424E-3</v>
      </c>
      <c r="T51" s="159">
        <f t="shared" si="15"/>
        <v>1.0406249872843424E-2</v>
      </c>
      <c r="U51" s="159">
        <f t="shared" si="16"/>
        <v>2.0706249872843425E-2</v>
      </c>
      <c r="V51" s="159">
        <f t="shared" si="17"/>
        <v>1.1406249872843423E-2</v>
      </c>
      <c r="W51" s="159">
        <f t="shared" si="18"/>
        <v>2.5806249872843422E-2</v>
      </c>
      <c r="X51" s="159">
        <f t="shared" si="19"/>
        <v>2.7906249872843424E-2</v>
      </c>
      <c r="Y51" s="159">
        <f t="shared" si="20"/>
        <v>-6.3593750127156567E-2</v>
      </c>
      <c r="Z51" s="159">
        <f t="shared" si="21"/>
        <v>5.1824421949209117E-2</v>
      </c>
    </row>
    <row r="52" spans="1:26" ht="15" customHeight="1" x14ac:dyDescent="0.2">
      <c r="A52" s="3">
        <v>35308</v>
      </c>
      <c r="B52" s="159">
        <v>2.4799999999999999E-2</v>
      </c>
      <c r="C52" s="159">
        <v>1.3100000000000001E-2</v>
      </c>
      <c r="D52" s="159">
        <v>2.1600000000000001E-2</v>
      </c>
      <c r="E52" s="159">
        <v>1.4800000000000001E-2</v>
      </c>
      <c r="F52" s="159">
        <v>1.04E-2</v>
      </c>
      <c r="G52" s="159">
        <v>2.3800000000000002E-2</v>
      </c>
      <c r="H52" s="159">
        <v>3.56E-2</v>
      </c>
      <c r="I52" s="159">
        <v>2.93E-2</v>
      </c>
      <c r="J52" s="159">
        <v>7.7999999999999996E-3</v>
      </c>
      <c r="K52" s="159">
        <v>-3.4299999999999997E-2</v>
      </c>
      <c r="L52" s="159">
        <v>2.0927970050143001E-2</v>
      </c>
      <c r="M52" s="159"/>
      <c r="N52" s="159">
        <v>4.2416663964589436E-3</v>
      </c>
      <c r="P52" s="159">
        <f t="shared" si="11"/>
        <v>2.0558333603541055E-2</v>
      </c>
      <c r="Q52" s="159">
        <f t="shared" si="12"/>
        <v>8.8583336035410569E-3</v>
      </c>
      <c r="R52" s="159">
        <f t="shared" si="13"/>
        <v>1.7358333603541058E-2</v>
      </c>
      <c r="S52" s="159">
        <f t="shared" si="14"/>
        <v>1.0558333603541057E-2</v>
      </c>
      <c r="T52" s="159">
        <f t="shared" si="15"/>
        <v>6.1583336035410559E-3</v>
      </c>
      <c r="U52" s="159">
        <f t="shared" si="16"/>
        <v>1.9558333603541058E-2</v>
      </c>
      <c r="V52" s="159">
        <f t="shared" si="17"/>
        <v>3.1358333603541053E-2</v>
      </c>
      <c r="W52" s="159">
        <f t="shared" si="18"/>
        <v>2.5058333603541056E-2</v>
      </c>
      <c r="X52" s="159">
        <f t="shared" si="19"/>
        <v>3.558333603541056E-3</v>
      </c>
      <c r="Y52" s="159">
        <f t="shared" si="20"/>
        <v>-3.8541666396458937E-2</v>
      </c>
      <c r="Z52" s="159">
        <f t="shared" si="21"/>
        <v>1.6686303653684058E-2</v>
      </c>
    </row>
    <row r="53" spans="1:26" ht="15" customHeight="1" x14ac:dyDescent="0.2">
      <c r="A53" s="3">
        <v>35277</v>
      </c>
      <c r="B53" s="159">
        <v>-4.1300000000000003E-2</v>
      </c>
      <c r="C53" s="159">
        <v>1.3599999999999999E-2</v>
      </c>
      <c r="D53" s="159">
        <v>2.3999999999999998E-3</v>
      </c>
      <c r="E53" s="159">
        <v>6.0000000000000001E-3</v>
      </c>
      <c r="F53" s="159">
        <v>1.34E-2</v>
      </c>
      <c r="G53" s="159">
        <v>-3.7999999999999999E-2</v>
      </c>
      <c r="H53" s="159">
        <v>-2.6800000000000001E-2</v>
      </c>
      <c r="I53" s="159">
        <v>-6.9699999999999998E-2</v>
      </c>
      <c r="J53" s="159">
        <v>1E-3</v>
      </c>
      <c r="K53" s="159">
        <v>9.8299999999999998E-2</v>
      </c>
      <c r="L53" s="159">
        <v>-4.4347453998893081E-2</v>
      </c>
      <c r="M53" s="159"/>
      <c r="N53" s="159">
        <v>4.3041666348775228E-3</v>
      </c>
      <c r="P53" s="159">
        <f t="shared" si="11"/>
        <v>-4.5604166634877527E-2</v>
      </c>
      <c r="Q53" s="159">
        <f t="shared" si="12"/>
        <v>9.2958333651224773E-3</v>
      </c>
      <c r="R53" s="159">
        <f t="shared" si="13"/>
        <v>-1.9041666348775231E-3</v>
      </c>
      <c r="S53" s="159">
        <f t="shared" si="14"/>
        <v>1.6958333651224773E-3</v>
      </c>
      <c r="T53" s="159">
        <f t="shared" si="15"/>
        <v>9.0958333651224785E-3</v>
      </c>
      <c r="U53" s="159">
        <f t="shared" si="16"/>
        <v>-4.2304166634877523E-2</v>
      </c>
      <c r="V53" s="159">
        <f t="shared" si="17"/>
        <v>-3.1104166634877525E-2</v>
      </c>
      <c r="W53" s="159">
        <f t="shared" si="18"/>
        <v>-7.4004166634877522E-2</v>
      </c>
      <c r="X53" s="159">
        <f t="shared" si="19"/>
        <v>-3.3041666348775228E-3</v>
      </c>
      <c r="Y53" s="159">
        <f t="shared" si="20"/>
        <v>9.3995833365122475E-2</v>
      </c>
      <c r="Z53" s="159">
        <f t="shared" si="21"/>
        <v>-4.8651620633770605E-2</v>
      </c>
    </row>
    <row r="54" spans="1:26" ht="15" customHeight="1" x14ac:dyDescent="0.2">
      <c r="A54" s="3">
        <v>35246</v>
      </c>
      <c r="B54" s="159">
        <v>1.7399999999999999E-2</v>
      </c>
      <c r="C54" s="159">
        <v>1.4500000000000001E-2</v>
      </c>
      <c r="D54" s="159">
        <v>0.01</v>
      </c>
      <c r="E54" s="159">
        <v>2.3999999999999998E-3</v>
      </c>
      <c r="F54" s="159">
        <v>1.2500000000000001E-2</v>
      </c>
      <c r="G54" s="159">
        <v>-1.5299999999999999E-2</v>
      </c>
      <c r="H54" s="159">
        <v>5.3600000000000002E-2</v>
      </c>
      <c r="I54" s="159">
        <v>3.2300000000000002E-2</v>
      </c>
      <c r="J54" s="159">
        <v>2E-3</v>
      </c>
      <c r="K54" s="159">
        <v>5.0900000000000001E-2</v>
      </c>
      <c r="L54" s="159">
        <v>3.6482555038561499E-3</v>
      </c>
      <c r="M54" s="159"/>
      <c r="N54" s="159">
        <v>4.2562500635782881E-3</v>
      </c>
      <c r="P54" s="159">
        <f t="shared" si="11"/>
        <v>1.3143749936421711E-2</v>
      </c>
      <c r="Q54" s="159">
        <f t="shared" si="12"/>
        <v>1.0243749936421713E-2</v>
      </c>
      <c r="R54" s="159">
        <f t="shared" si="13"/>
        <v>5.7437499364217121E-3</v>
      </c>
      <c r="S54" s="159">
        <f t="shared" si="14"/>
        <v>-1.8562500635782883E-3</v>
      </c>
      <c r="T54" s="159">
        <f t="shared" si="15"/>
        <v>8.2437499364217126E-3</v>
      </c>
      <c r="U54" s="159">
        <f t="shared" si="16"/>
        <v>-1.9556250063578286E-2</v>
      </c>
      <c r="V54" s="159">
        <f t="shared" si="17"/>
        <v>4.934374993642171E-2</v>
      </c>
      <c r="W54" s="159">
        <f t="shared" si="18"/>
        <v>2.8043749936421714E-2</v>
      </c>
      <c r="X54" s="159">
        <f t="shared" si="19"/>
        <v>-2.256250063578288E-3</v>
      </c>
      <c r="Y54" s="159">
        <f t="shared" si="20"/>
        <v>4.6643749936421716E-2</v>
      </c>
      <c r="Z54" s="159">
        <f t="shared" si="21"/>
        <v>-6.0799455972213815E-4</v>
      </c>
    </row>
    <row r="55" spans="1:26" ht="15" customHeight="1" x14ac:dyDescent="0.2">
      <c r="A55" s="3">
        <v>35216</v>
      </c>
      <c r="B55" s="159">
        <v>1.9300000000000001E-2</v>
      </c>
      <c r="C55" s="159">
        <v>1.5900000000000001E-2</v>
      </c>
      <c r="D55" s="159">
        <v>1.66E-2</v>
      </c>
      <c r="E55" s="159">
        <v>1.14E-2</v>
      </c>
      <c r="F55" s="159">
        <v>1.09E-2</v>
      </c>
      <c r="G55" s="159">
        <v>2.1299999999999999E-2</v>
      </c>
      <c r="H55" s="159">
        <v>4.5100000000000001E-2</v>
      </c>
      <c r="I55" s="159">
        <v>1.9900000000000001E-2</v>
      </c>
      <c r="J55" s="159">
        <v>-1.9900000000000001E-2</v>
      </c>
      <c r="K55" s="159">
        <v>2.0000000000000001E-4</v>
      </c>
      <c r="L55" s="159">
        <v>2.5622902727821622E-2</v>
      </c>
      <c r="M55" s="159"/>
      <c r="N55" s="159">
        <v>4.1833337148030596E-3</v>
      </c>
      <c r="P55" s="159">
        <f t="shared" si="11"/>
        <v>1.5116666285196942E-2</v>
      </c>
      <c r="Q55" s="159">
        <f t="shared" si="12"/>
        <v>1.1716666285196941E-2</v>
      </c>
      <c r="R55" s="159">
        <f t="shared" si="13"/>
        <v>1.2416666285196941E-2</v>
      </c>
      <c r="S55" s="159">
        <f t="shared" si="14"/>
        <v>7.2166662851969408E-3</v>
      </c>
      <c r="T55" s="159">
        <f t="shared" si="15"/>
        <v>6.7166662851969403E-3</v>
      </c>
      <c r="U55" s="159">
        <f t="shared" si="16"/>
        <v>1.7116666285196938E-2</v>
      </c>
      <c r="V55" s="159">
        <f t="shared" si="17"/>
        <v>4.091666628519694E-2</v>
      </c>
      <c r="W55" s="159">
        <f t="shared" si="18"/>
        <v>1.571666628519694E-2</v>
      </c>
      <c r="X55" s="159">
        <f t="shared" si="19"/>
        <v>-2.4083333714803062E-2</v>
      </c>
      <c r="Y55" s="159">
        <f t="shared" si="20"/>
        <v>-3.98333371480306E-3</v>
      </c>
      <c r="Z55" s="159">
        <f t="shared" si="21"/>
        <v>2.1439569013018564E-2</v>
      </c>
    </row>
    <row r="56" spans="1:26" ht="15" customHeight="1" x14ac:dyDescent="0.2">
      <c r="A56" s="3">
        <v>35185</v>
      </c>
      <c r="B56" s="159">
        <v>3.1199999999999999E-2</v>
      </c>
      <c r="C56" s="159">
        <v>1.34E-2</v>
      </c>
      <c r="D56" s="159">
        <v>2.5700000000000001E-2</v>
      </c>
      <c r="E56" s="159">
        <v>1.29E-2</v>
      </c>
      <c r="F56" s="159">
        <v>1.35E-2</v>
      </c>
      <c r="G56" s="159">
        <v>4.1399999999999999E-2</v>
      </c>
      <c r="H56" s="159">
        <v>5.0599999999999999E-2</v>
      </c>
      <c r="I56" s="159">
        <v>0.03</v>
      </c>
      <c r="J56" s="159">
        <v>3.1199999999999999E-2</v>
      </c>
      <c r="K56" s="159">
        <v>-6.6400000000000001E-2</v>
      </c>
      <c r="L56" s="159">
        <v>1.4576608152098139E-2</v>
      </c>
      <c r="M56" s="159"/>
      <c r="N56" s="159">
        <v>4.1541667779286702E-3</v>
      </c>
      <c r="P56" s="159">
        <f t="shared" si="11"/>
        <v>2.7045833222071328E-2</v>
      </c>
      <c r="Q56" s="159">
        <f t="shared" si="12"/>
        <v>9.2458332220713303E-3</v>
      </c>
      <c r="R56" s="159">
        <f t="shared" si="13"/>
        <v>2.154583322207133E-2</v>
      </c>
      <c r="S56" s="159">
        <f t="shared" si="14"/>
        <v>8.7458332220713298E-3</v>
      </c>
      <c r="T56" s="159">
        <f t="shared" si="15"/>
        <v>9.3458332220713296E-3</v>
      </c>
      <c r="U56" s="159">
        <f t="shared" si="16"/>
        <v>3.7245833222071326E-2</v>
      </c>
      <c r="V56" s="159">
        <f t="shared" si="17"/>
        <v>4.6445833222071325E-2</v>
      </c>
      <c r="W56" s="159">
        <f t="shared" si="18"/>
        <v>2.5845833222071329E-2</v>
      </c>
      <c r="X56" s="159">
        <f t="shared" si="19"/>
        <v>2.7045833222071328E-2</v>
      </c>
      <c r="Y56" s="159">
        <f t="shared" si="20"/>
        <v>-7.0554166777928667E-2</v>
      </c>
      <c r="Z56" s="159">
        <f t="shared" si="21"/>
        <v>1.0422441374169469E-2</v>
      </c>
    </row>
    <row r="57" spans="1:26" ht="15" customHeight="1" x14ac:dyDescent="0.2">
      <c r="A57" s="3">
        <v>35155</v>
      </c>
      <c r="B57" s="159">
        <v>1.06E-2</v>
      </c>
      <c r="C57" s="159">
        <v>1.4999999999999999E-2</v>
      </c>
      <c r="D57" s="159">
        <v>1.2200000000000001E-2</v>
      </c>
      <c r="E57" s="159">
        <v>1.6500000000000001E-2</v>
      </c>
      <c r="F57" s="159">
        <v>7.7000000000000002E-3</v>
      </c>
      <c r="G57" s="159">
        <v>1.21E-2</v>
      </c>
      <c r="H57" s="159">
        <v>-9.2999999999999992E-3</v>
      </c>
      <c r="I57" s="159">
        <v>1.2200000000000001E-2</v>
      </c>
      <c r="J57" s="159">
        <v>1.1000000000000001E-3</v>
      </c>
      <c r="K57" s="159">
        <v>-8.6999999999999994E-3</v>
      </c>
      <c r="L57" s="159">
        <v>9.4595943832091831E-3</v>
      </c>
      <c r="M57" s="159"/>
      <c r="N57" s="159">
        <v>4.1183332602183027E-3</v>
      </c>
      <c r="P57" s="159">
        <f t="shared" si="11"/>
        <v>6.4816667397816973E-3</v>
      </c>
      <c r="Q57" s="159">
        <f t="shared" si="12"/>
        <v>1.0881666739781696E-2</v>
      </c>
      <c r="R57" s="159">
        <f t="shared" si="13"/>
        <v>8.0816667397816989E-3</v>
      </c>
      <c r="S57" s="159">
        <f t="shared" si="14"/>
        <v>1.2381666739781697E-2</v>
      </c>
      <c r="T57" s="159">
        <f t="shared" si="15"/>
        <v>3.5816667397816975E-3</v>
      </c>
      <c r="U57" s="159">
        <f t="shared" si="16"/>
        <v>7.9816667397816961E-3</v>
      </c>
      <c r="V57" s="159">
        <f t="shared" si="17"/>
        <v>-1.3418333260218303E-2</v>
      </c>
      <c r="W57" s="159">
        <f t="shared" si="18"/>
        <v>8.0816667397816989E-3</v>
      </c>
      <c r="X57" s="159">
        <f t="shared" si="19"/>
        <v>-3.0183332602183024E-3</v>
      </c>
      <c r="Y57" s="159">
        <f t="shared" si="20"/>
        <v>-1.2818333260218303E-2</v>
      </c>
      <c r="Z57" s="159">
        <f t="shared" si="21"/>
        <v>5.3412611229908804E-3</v>
      </c>
    </row>
    <row r="58" spans="1:26" ht="15" customHeight="1" x14ac:dyDescent="0.2">
      <c r="A58" s="3">
        <v>35124</v>
      </c>
      <c r="B58" s="159">
        <v>-3.5900000000000001E-2</v>
      </c>
      <c r="C58" s="159">
        <v>1.18E-2</v>
      </c>
      <c r="D58" s="159">
        <v>5.7999999999999996E-3</v>
      </c>
      <c r="E58" s="159">
        <v>1.5900000000000001E-2</v>
      </c>
      <c r="F58" s="159">
        <v>1.06E-2</v>
      </c>
      <c r="G58" s="159">
        <v>1.35E-2</v>
      </c>
      <c r="H58" s="159">
        <v>-5.7000000000000002E-3</v>
      </c>
      <c r="I58" s="159">
        <v>-7.0699999999999999E-2</v>
      </c>
      <c r="J58" s="159">
        <v>-4.4999999999999998E-2</v>
      </c>
      <c r="K58" s="159">
        <v>-5.6399999999999999E-2</v>
      </c>
      <c r="L58" s="159">
        <v>9.1043956043954464E-3</v>
      </c>
      <c r="M58" s="159"/>
      <c r="N58" s="159">
        <v>4.0562502543131512E-3</v>
      </c>
      <c r="P58" s="159">
        <f t="shared" si="11"/>
        <v>-3.9956250254313153E-2</v>
      </c>
      <c r="Q58" s="159">
        <f t="shared" si="12"/>
        <v>7.7437497456868485E-3</v>
      </c>
      <c r="R58" s="159">
        <f t="shared" si="13"/>
        <v>1.7437497456868484E-3</v>
      </c>
      <c r="S58" s="159">
        <f t="shared" si="14"/>
        <v>1.184374974568685E-2</v>
      </c>
      <c r="T58" s="159">
        <f t="shared" si="15"/>
        <v>6.5437497456868488E-3</v>
      </c>
      <c r="U58" s="159">
        <f t="shared" si="16"/>
        <v>9.4437497456868486E-3</v>
      </c>
      <c r="V58" s="159">
        <f t="shared" si="17"/>
        <v>-9.7562502543131514E-3</v>
      </c>
      <c r="W58" s="159">
        <f t="shared" si="18"/>
        <v>-7.475625025431315E-2</v>
      </c>
      <c r="X58" s="159">
        <f t="shared" si="19"/>
        <v>-4.905625025431315E-2</v>
      </c>
      <c r="Y58" s="159">
        <f t="shared" si="20"/>
        <v>-6.045625025431315E-2</v>
      </c>
      <c r="Z58" s="159">
        <f t="shared" si="21"/>
        <v>5.0481453500822952E-3</v>
      </c>
    </row>
    <row r="59" spans="1:26" ht="15" customHeight="1" x14ac:dyDescent="0.2">
      <c r="A59" s="3">
        <v>35095</v>
      </c>
      <c r="B59" s="159">
        <v>6.9699999999999998E-2</v>
      </c>
      <c r="C59" s="159">
        <v>2.07E-2</v>
      </c>
      <c r="D59" s="159">
        <v>3.49E-2</v>
      </c>
      <c r="E59" s="159">
        <v>2.1000000000000001E-2</v>
      </c>
      <c r="F59" s="159">
        <v>1.43E-2</v>
      </c>
      <c r="G59" s="159">
        <v>1.9699999999999999E-2</v>
      </c>
      <c r="H59" s="159">
        <v>7.8600000000000003E-2</v>
      </c>
      <c r="I59" s="159">
        <v>0.1046</v>
      </c>
      <c r="J59" s="159">
        <v>2.8199999999999999E-2</v>
      </c>
      <c r="K59" s="159">
        <v>6.3E-3</v>
      </c>
      <c r="L59" s="159">
        <v>3.386940717790219E-2</v>
      </c>
      <c r="M59" s="159"/>
      <c r="N59" s="159">
        <v>4.1833333174387611E-3</v>
      </c>
      <c r="P59" s="159">
        <f t="shared" si="11"/>
        <v>6.5516666682561231E-2</v>
      </c>
      <c r="Q59" s="159">
        <f t="shared" si="12"/>
        <v>1.6516666682561239E-2</v>
      </c>
      <c r="R59" s="159">
        <f t="shared" si="13"/>
        <v>3.071666668256124E-2</v>
      </c>
      <c r="S59" s="159">
        <f t="shared" si="14"/>
        <v>1.6816666682561241E-2</v>
      </c>
      <c r="T59" s="159">
        <f t="shared" si="15"/>
        <v>1.011666668256124E-2</v>
      </c>
      <c r="U59" s="159">
        <f t="shared" si="16"/>
        <v>1.5516666682561239E-2</v>
      </c>
      <c r="V59" s="159">
        <f t="shared" si="17"/>
        <v>7.4416666682561236E-2</v>
      </c>
      <c r="W59" s="159">
        <f t="shared" si="18"/>
        <v>0.10041666668256123</v>
      </c>
      <c r="X59" s="159">
        <f t="shared" si="19"/>
        <v>2.4016666682561239E-2</v>
      </c>
      <c r="Y59" s="159">
        <f t="shared" si="20"/>
        <v>2.116666682561239E-3</v>
      </c>
      <c r="Z59" s="159">
        <f t="shared" si="21"/>
        <v>2.968607386046343E-2</v>
      </c>
    </row>
    <row r="60" spans="1:26" ht="15" customHeight="1" x14ac:dyDescent="0.2">
      <c r="A60" s="3">
        <v>35064</v>
      </c>
      <c r="B60" s="159">
        <v>3.0599999999999999E-2</v>
      </c>
      <c r="C60" s="159">
        <v>1.3899999999999999E-2</v>
      </c>
      <c r="D60" s="159">
        <v>2.18E-2</v>
      </c>
      <c r="E60" s="159">
        <v>8.0999999999999996E-3</v>
      </c>
      <c r="F60" s="159">
        <v>1.0699999999999999E-2</v>
      </c>
      <c r="G60" s="159">
        <v>2.0899999999999998E-2</v>
      </c>
      <c r="H60" s="159">
        <v>7.4000000000000003E-3</v>
      </c>
      <c r="I60" s="159">
        <v>4.0500000000000001E-2</v>
      </c>
      <c r="J60" s="159">
        <v>4.5900000000000003E-2</v>
      </c>
      <c r="K60" s="159">
        <v>4.9399999999999999E-2</v>
      </c>
      <c r="L60" s="159">
        <v>1.9095334120903234E-2</v>
      </c>
      <c r="M60" s="159"/>
      <c r="N60" s="159">
        <v>4.3283335367838545E-3</v>
      </c>
      <c r="P60" s="159">
        <f t="shared" si="11"/>
        <v>2.6271666463216145E-2</v>
      </c>
      <c r="Q60" s="159">
        <f t="shared" si="12"/>
        <v>9.5716664632161455E-3</v>
      </c>
      <c r="R60" s="159">
        <f t="shared" si="13"/>
        <v>1.7471666463216146E-2</v>
      </c>
      <c r="S60" s="159">
        <f t="shared" si="14"/>
        <v>3.771666463216145E-3</v>
      </c>
      <c r="T60" s="159">
        <f t="shared" si="15"/>
        <v>6.3716664632161449E-3</v>
      </c>
      <c r="U60" s="159">
        <f t="shared" si="16"/>
        <v>1.6571666463216145E-2</v>
      </c>
      <c r="V60" s="159">
        <f t="shared" si="17"/>
        <v>3.0716664632161458E-3</v>
      </c>
      <c r="W60" s="159">
        <f t="shared" si="18"/>
        <v>3.6171666463216144E-2</v>
      </c>
      <c r="X60" s="159">
        <f t="shared" si="19"/>
        <v>4.1571666463216146E-2</v>
      </c>
      <c r="Y60" s="159">
        <f t="shared" si="20"/>
        <v>4.5071666463216142E-2</v>
      </c>
      <c r="Z60" s="159">
        <f t="shared" si="21"/>
        <v>1.476700058411938E-2</v>
      </c>
    </row>
    <row r="61" spans="1:26" ht="15" customHeight="1" x14ac:dyDescent="0.2">
      <c r="A61" s="3">
        <v>35033</v>
      </c>
      <c r="B61" s="159">
        <v>3.1399999999999997E-2</v>
      </c>
      <c r="C61" s="159">
        <v>2.3099999999999999E-2</v>
      </c>
      <c r="D61" s="159">
        <v>1.1299999999999999E-2</v>
      </c>
      <c r="E61" s="159">
        <v>2.8999999999999998E-3</v>
      </c>
      <c r="F61" s="159">
        <v>1.6799999999999999E-2</v>
      </c>
      <c r="G61" s="159">
        <v>2.29E-2</v>
      </c>
      <c r="H61" s="159">
        <v>-3.1300000000000001E-2</v>
      </c>
      <c r="I61" s="159">
        <v>4.87E-2</v>
      </c>
      <c r="J61" s="159">
        <v>-2.7000000000000001E-3</v>
      </c>
      <c r="K61" s="159">
        <v>-9.7000000000000003E-3</v>
      </c>
      <c r="L61" s="159">
        <v>4.3732010918919408E-2</v>
      </c>
      <c r="M61" s="159"/>
      <c r="N61" s="159">
        <v>4.4625000158945716E-3</v>
      </c>
      <c r="P61" s="159">
        <f t="shared" si="11"/>
        <v>2.6937499984105426E-2</v>
      </c>
      <c r="Q61" s="159">
        <f t="shared" si="12"/>
        <v>1.8637499984105427E-2</v>
      </c>
      <c r="R61" s="159">
        <f t="shared" si="13"/>
        <v>6.8374999841054277E-3</v>
      </c>
      <c r="S61" s="159">
        <f t="shared" si="14"/>
        <v>-1.5625000158945718E-3</v>
      </c>
      <c r="T61" s="159">
        <f t="shared" si="15"/>
        <v>1.2337499984105427E-2</v>
      </c>
      <c r="U61" s="159">
        <f t="shared" si="16"/>
        <v>1.8437499984105429E-2</v>
      </c>
      <c r="V61" s="159">
        <f t="shared" si="17"/>
        <v>-3.5762500015894573E-2</v>
      </c>
      <c r="W61" s="159">
        <f t="shared" si="18"/>
        <v>4.4237499984105429E-2</v>
      </c>
      <c r="X61" s="159">
        <f t="shared" si="19"/>
        <v>-7.1625000158945717E-3</v>
      </c>
      <c r="Y61" s="159">
        <f t="shared" si="20"/>
        <v>-1.4162500015894572E-2</v>
      </c>
      <c r="Z61" s="159">
        <f t="shared" si="21"/>
        <v>3.9269510903024836E-2</v>
      </c>
    </row>
    <row r="62" spans="1:26" ht="15" customHeight="1" x14ac:dyDescent="0.2">
      <c r="A62" s="3">
        <v>35003</v>
      </c>
      <c r="B62" s="159">
        <v>-1.1000000000000001E-3</v>
      </c>
      <c r="C62" s="159">
        <v>1.29E-2</v>
      </c>
      <c r="D62" s="159">
        <v>-2.5999999999999999E-3</v>
      </c>
      <c r="E62" s="159">
        <v>2.8E-3</v>
      </c>
      <c r="F62" s="159">
        <v>1.14E-2</v>
      </c>
      <c r="G62" s="159">
        <v>-1.8200000000000001E-2</v>
      </c>
      <c r="H62" s="159">
        <v>-5.6599999999999998E-2</v>
      </c>
      <c r="I62" s="159">
        <v>0.01</v>
      </c>
      <c r="J62" s="159">
        <v>-1.06E-2</v>
      </c>
      <c r="K62" s="159">
        <v>6.3500000000000001E-2</v>
      </c>
      <c r="L62" s="159">
        <v>-3.7406480819634118E-3</v>
      </c>
      <c r="M62" s="159"/>
      <c r="N62" s="159">
        <v>4.4145830472310382E-3</v>
      </c>
      <c r="P62" s="159">
        <f t="shared" si="11"/>
        <v>-5.5145830472310385E-3</v>
      </c>
      <c r="Q62" s="159">
        <f t="shared" si="12"/>
        <v>8.4854169527689618E-3</v>
      </c>
      <c r="R62" s="159">
        <f t="shared" si="13"/>
        <v>-7.0145830472310381E-3</v>
      </c>
      <c r="S62" s="159">
        <f t="shared" si="14"/>
        <v>-1.6145830472310383E-3</v>
      </c>
      <c r="T62" s="159">
        <f t="shared" si="15"/>
        <v>6.9854169527689622E-3</v>
      </c>
      <c r="U62" s="159">
        <f t="shared" si="16"/>
        <v>-2.2614583047231039E-2</v>
      </c>
      <c r="V62" s="159">
        <f t="shared" si="17"/>
        <v>-6.1014583047231036E-2</v>
      </c>
      <c r="W62" s="159">
        <f t="shared" si="18"/>
        <v>5.585416952768962E-3</v>
      </c>
      <c r="X62" s="159">
        <f t="shared" si="19"/>
        <v>-1.5014583047231038E-2</v>
      </c>
      <c r="Y62" s="159">
        <f t="shared" si="20"/>
        <v>5.9085416952768963E-2</v>
      </c>
      <c r="Z62" s="159">
        <f t="shared" si="21"/>
        <v>-8.1552311291944492E-3</v>
      </c>
    </row>
    <row r="63" spans="1:26" ht="15" customHeight="1" x14ac:dyDescent="0.2">
      <c r="A63" s="3">
        <v>34972</v>
      </c>
      <c r="B63" s="159">
        <v>3.8E-3</v>
      </c>
      <c r="C63" s="159">
        <v>1.12E-2</v>
      </c>
      <c r="D63" s="159">
        <v>1.8700000000000001E-2</v>
      </c>
      <c r="E63" s="159">
        <v>-5.7000000000000002E-3</v>
      </c>
      <c r="F63" s="159">
        <v>1.04E-2</v>
      </c>
      <c r="G63" s="159">
        <v>1.11E-2</v>
      </c>
      <c r="H63" s="159">
        <v>1.8800000000000001E-2</v>
      </c>
      <c r="I63" s="159">
        <v>2E-3</v>
      </c>
      <c r="J63" s="159">
        <v>-9.35E-2</v>
      </c>
      <c r="K63" s="159">
        <v>-2.93E-2</v>
      </c>
      <c r="L63" s="159">
        <v>4.2035296182883132E-2</v>
      </c>
      <c r="M63" s="159"/>
      <c r="N63" s="159">
        <v>4.3949997425079346E-3</v>
      </c>
      <c r="P63" s="159">
        <f t="shared" si="11"/>
        <v>-5.9499974250793461E-4</v>
      </c>
      <c r="Q63" s="159">
        <f t="shared" si="12"/>
        <v>6.8050002574920653E-3</v>
      </c>
      <c r="R63" s="159">
        <f t="shared" si="13"/>
        <v>1.4305000257492068E-2</v>
      </c>
      <c r="S63" s="159">
        <f t="shared" si="14"/>
        <v>-1.0094999742507934E-2</v>
      </c>
      <c r="T63" s="159">
        <f t="shared" si="15"/>
        <v>6.0050002574920649E-3</v>
      </c>
      <c r="U63" s="159">
        <f t="shared" si="16"/>
        <v>6.7050002574920659E-3</v>
      </c>
      <c r="V63" s="159">
        <f t="shared" si="17"/>
        <v>1.4405000257492067E-2</v>
      </c>
      <c r="W63" s="159">
        <f t="shared" si="18"/>
        <v>-2.3949997425079346E-3</v>
      </c>
      <c r="X63" s="159">
        <f t="shared" si="19"/>
        <v>-9.789499974250794E-2</v>
      </c>
      <c r="Y63" s="159">
        <f t="shared" si="20"/>
        <v>-3.3694999742507933E-2</v>
      </c>
      <c r="Z63" s="159">
        <f t="shared" si="21"/>
        <v>3.7640296440375198E-2</v>
      </c>
    </row>
    <row r="64" spans="1:26" ht="15" customHeight="1" x14ac:dyDescent="0.2">
      <c r="A64" s="3">
        <v>34942</v>
      </c>
      <c r="B64" s="159">
        <v>0.06</v>
      </c>
      <c r="C64" s="159">
        <v>7.7000000000000002E-3</v>
      </c>
      <c r="D64" s="159">
        <v>1.54E-2</v>
      </c>
      <c r="E64" s="159">
        <v>6.7999999999999996E-3</v>
      </c>
      <c r="F64" s="159">
        <v>7.7000000000000002E-3</v>
      </c>
      <c r="G64" s="159">
        <v>2.2599999999999999E-2</v>
      </c>
      <c r="H64" s="159">
        <v>9.7999999999999997E-3</v>
      </c>
      <c r="I64" s="159">
        <v>0.106</v>
      </c>
      <c r="J64" s="159">
        <v>-3.2000000000000002E-3</v>
      </c>
      <c r="K64" s="159">
        <v>8.2000000000000007E-3</v>
      </c>
      <c r="L64" s="159">
        <v>2.3465567766591628E-3</v>
      </c>
      <c r="M64" s="159"/>
      <c r="N64" s="159">
        <v>4.5208334922790527E-3</v>
      </c>
      <c r="P64" s="159">
        <f t="shared" si="11"/>
        <v>5.5479166507720945E-2</v>
      </c>
      <c r="Q64" s="159">
        <f t="shared" si="12"/>
        <v>3.1791665077209475E-3</v>
      </c>
      <c r="R64" s="159">
        <f t="shared" si="13"/>
        <v>1.0879166507720948E-2</v>
      </c>
      <c r="S64" s="159">
        <f t="shared" si="14"/>
        <v>2.2791665077209469E-3</v>
      </c>
      <c r="T64" s="159">
        <f t="shared" si="15"/>
        <v>3.1791665077209475E-3</v>
      </c>
      <c r="U64" s="159">
        <f t="shared" si="16"/>
        <v>1.8079166507720946E-2</v>
      </c>
      <c r="V64" s="159">
        <f t="shared" si="17"/>
        <v>5.2791665077209469E-3</v>
      </c>
      <c r="W64" s="159">
        <f t="shared" si="18"/>
        <v>0.10147916650772094</v>
      </c>
      <c r="X64" s="159">
        <f t="shared" si="19"/>
        <v>-7.7208334922790525E-3</v>
      </c>
      <c r="Y64" s="159">
        <f t="shared" si="20"/>
        <v>3.679166507720948E-3</v>
      </c>
      <c r="Z64" s="159">
        <f t="shared" si="21"/>
        <v>-2.1742767156198899E-3</v>
      </c>
    </row>
    <row r="65" spans="1:26" ht="15" customHeight="1" x14ac:dyDescent="0.2">
      <c r="A65" s="3">
        <v>34911</v>
      </c>
      <c r="B65" s="159">
        <v>2.76E-2</v>
      </c>
      <c r="C65" s="159">
        <v>8.6E-3</v>
      </c>
      <c r="D65" s="159">
        <v>2.2499999999999999E-2</v>
      </c>
      <c r="E65" s="159">
        <v>5.4999999999999997E-3</v>
      </c>
      <c r="F65" s="159">
        <v>1.12E-2</v>
      </c>
      <c r="G65" s="159">
        <v>5.1499999999999997E-2</v>
      </c>
      <c r="H65" s="159">
        <v>2.2200000000000001E-2</v>
      </c>
      <c r="I65" s="159">
        <v>2.24E-2</v>
      </c>
      <c r="J65" s="159">
        <v>3.0499999999999999E-2</v>
      </c>
      <c r="K65" s="159">
        <v>-5.9400000000000001E-2</v>
      </c>
      <c r="L65" s="159">
        <v>3.2996307438441598E-2</v>
      </c>
      <c r="M65" s="159"/>
      <c r="N65" s="159">
        <v>4.5541663964589439E-3</v>
      </c>
      <c r="P65" s="159">
        <f t="shared" si="11"/>
        <v>2.3045833603541056E-2</v>
      </c>
      <c r="Q65" s="159">
        <f t="shared" si="12"/>
        <v>4.0458336035410561E-3</v>
      </c>
      <c r="R65" s="159">
        <f t="shared" si="13"/>
        <v>1.7945833603541055E-2</v>
      </c>
      <c r="S65" s="159">
        <f t="shared" si="14"/>
        <v>9.4583360354105576E-4</v>
      </c>
      <c r="T65" s="159">
        <f t="shared" si="15"/>
        <v>6.645833603541056E-3</v>
      </c>
      <c r="U65" s="159">
        <f t="shared" si="16"/>
        <v>4.6945833603541057E-2</v>
      </c>
      <c r="V65" s="159">
        <f t="shared" si="17"/>
        <v>1.7645833603541057E-2</v>
      </c>
      <c r="W65" s="159">
        <f t="shared" si="18"/>
        <v>1.7845833603541056E-2</v>
      </c>
      <c r="X65" s="159">
        <f t="shared" si="19"/>
        <v>2.5945833603541055E-2</v>
      </c>
      <c r="Y65" s="159">
        <f t="shared" si="20"/>
        <v>-6.3954166396458942E-2</v>
      </c>
      <c r="Z65" s="159">
        <f t="shared" si="21"/>
        <v>2.8442141041982654E-2</v>
      </c>
    </row>
    <row r="66" spans="1:26" ht="15" customHeight="1" x14ac:dyDescent="0.2">
      <c r="A66" s="3">
        <v>34880</v>
      </c>
      <c r="B66" s="159">
        <v>3.7000000000000002E-3</v>
      </c>
      <c r="C66" s="159">
        <v>1.9E-2</v>
      </c>
      <c r="D66" s="159">
        <v>1.2999999999999999E-2</v>
      </c>
      <c r="E66" s="159">
        <v>1.52E-2</v>
      </c>
      <c r="F66" s="159">
        <v>5.1999999999999998E-3</v>
      </c>
      <c r="G66" s="159">
        <v>3.5099999999999999E-2</v>
      </c>
      <c r="H66" s="159">
        <v>7.7999999999999996E-3</v>
      </c>
      <c r="I66" s="159">
        <v>-6.7999999999999996E-3</v>
      </c>
      <c r="J66" s="159">
        <v>-5.74E-2</v>
      </c>
      <c r="K66" s="159">
        <v>-6.9099999999999995E-2</v>
      </c>
      <c r="L66" s="159">
        <v>2.3060711774008907E-2</v>
      </c>
      <c r="M66" s="159"/>
      <c r="N66" s="159">
        <v>4.5833337306976319E-3</v>
      </c>
      <c r="P66" s="159">
        <f t="shared" si="11"/>
        <v>-8.8333373069763178E-4</v>
      </c>
      <c r="Q66" s="159">
        <f t="shared" si="12"/>
        <v>1.4416666269302367E-2</v>
      </c>
      <c r="R66" s="159">
        <f t="shared" si="13"/>
        <v>8.4166662693023683E-3</v>
      </c>
      <c r="S66" s="159">
        <f t="shared" si="14"/>
        <v>1.0616666269302369E-2</v>
      </c>
      <c r="T66" s="159">
        <f t="shared" si="15"/>
        <v>6.1666626930236782E-4</v>
      </c>
      <c r="U66" s="159">
        <f t="shared" si="16"/>
        <v>3.0516666269302366E-2</v>
      </c>
      <c r="V66" s="159">
        <f t="shared" si="17"/>
        <v>3.2166662693023677E-3</v>
      </c>
      <c r="W66" s="159">
        <f t="shared" si="18"/>
        <v>-1.1383333730697632E-2</v>
      </c>
      <c r="X66" s="159">
        <f t="shared" si="19"/>
        <v>-6.1983333730697629E-2</v>
      </c>
      <c r="Y66" s="159">
        <f t="shared" si="20"/>
        <v>-7.3683333730697631E-2</v>
      </c>
      <c r="Z66" s="159">
        <f t="shared" si="21"/>
        <v>1.8477378043311274E-2</v>
      </c>
    </row>
    <row r="67" spans="1:26" ht="15" customHeight="1" x14ac:dyDescent="0.2">
      <c r="A67" s="3">
        <v>34850</v>
      </c>
      <c r="B67" s="159">
        <v>1.01E-2</v>
      </c>
      <c r="C67" s="159">
        <v>1.6500000000000001E-2</v>
      </c>
      <c r="D67" s="159">
        <v>1.1299999999999999E-2</v>
      </c>
      <c r="E67" s="159">
        <v>4.1000000000000003E-3</v>
      </c>
      <c r="F67" s="159">
        <v>2.01E-2</v>
      </c>
      <c r="G67" s="159">
        <v>2.0299999999999999E-2</v>
      </c>
      <c r="H67" s="159">
        <v>1.34E-2</v>
      </c>
      <c r="I67" s="159">
        <v>9.9000000000000008E-3</v>
      </c>
      <c r="J67" s="159">
        <v>-4.7E-2</v>
      </c>
      <c r="K67" s="159">
        <v>-1.2500000000000001E-2</v>
      </c>
      <c r="L67" s="159">
        <v>3.9801781722924791E-2</v>
      </c>
      <c r="M67" s="159"/>
      <c r="N67" s="159">
        <v>4.7499998410542804E-3</v>
      </c>
      <c r="P67" s="159">
        <f t="shared" si="11"/>
        <v>5.3500001589457192E-3</v>
      </c>
      <c r="Q67" s="159">
        <f t="shared" si="12"/>
        <v>1.1750000158945721E-2</v>
      </c>
      <c r="R67" s="159">
        <f t="shared" si="13"/>
        <v>6.5500001589457188E-3</v>
      </c>
      <c r="S67" s="159">
        <f t="shared" si="14"/>
        <v>-6.499998410542801E-4</v>
      </c>
      <c r="T67" s="159">
        <f t="shared" si="15"/>
        <v>1.535000015894572E-2</v>
      </c>
      <c r="U67" s="159">
        <f t="shared" si="16"/>
        <v>1.5550000158945719E-2</v>
      </c>
      <c r="V67" s="159">
        <f t="shared" si="17"/>
        <v>8.6500001589457191E-3</v>
      </c>
      <c r="W67" s="159">
        <f t="shared" si="18"/>
        <v>5.1500001589457204E-3</v>
      </c>
      <c r="X67" s="159">
        <f t="shared" si="19"/>
        <v>-5.174999984105428E-2</v>
      </c>
      <c r="Y67" s="159">
        <f t="shared" si="20"/>
        <v>-1.724999984105428E-2</v>
      </c>
      <c r="Z67" s="159">
        <f t="shared" si="21"/>
        <v>3.5051781881870511E-2</v>
      </c>
    </row>
    <row r="68" spans="1:26" ht="15" customHeight="1" x14ac:dyDescent="0.2">
      <c r="A68" s="3">
        <v>34819</v>
      </c>
      <c r="B68" s="159">
        <v>1.4500000000000001E-2</v>
      </c>
      <c r="C68" s="159">
        <v>2.2800000000000001E-2</v>
      </c>
      <c r="D68" s="159">
        <v>2.1000000000000001E-2</v>
      </c>
      <c r="E68" s="159">
        <v>2.2700000000000001E-2</v>
      </c>
      <c r="F68" s="159">
        <v>2.0199999999999999E-2</v>
      </c>
      <c r="G68" s="159">
        <v>1.3599999999999999E-2</v>
      </c>
      <c r="H68" s="159">
        <v>7.2499999999999995E-2</v>
      </c>
      <c r="I68" s="159">
        <v>9.1000000000000004E-3</v>
      </c>
      <c r="J68" s="159">
        <v>-3.3E-3</v>
      </c>
      <c r="K68" s="159">
        <v>-3.7000000000000002E-3</v>
      </c>
      <c r="L68" s="159">
        <v>2.9279642058165561E-2</v>
      </c>
      <c r="M68" s="159"/>
      <c r="N68" s="159">
        <v>4.7250000635782876E-3</v>
      </c>
      <c r="P68" s="159">
        <f t="shared" si="11"/>
        <v>9.774999936421714E-3</v>
      </c>
      <c r="Q68" s="159">
        <f t="shared" si="12"/>
        <v>1.8074999936421712E-2</v>
      </c>
      <c r="R68" s="159">
        <f t="shared" si="13"/>
        <v>1.6274999936421713E-2</v>
      </c>
      <c r="S68" s="159">
        <f t="shared" si="14"/>
        <v>1.7974999936421713E-2</v>
      </c>
      <c r="T68" s="159">
        <f t="shared" si="15"/>
        <v>1.5474999936421711E-2</v>
      </c>
      <c r="U68" s="159">
        <f t="shared" si="16"/>
        <v>8.8749999364217125E-3</v>
      </c>
      <c r="V68" s="159">
        <f t="shared" si="17"/>
        <v>6.7774999936421707E-2</v>
      </c>
      <c r="W68" s="159">
        <f t="shared" si="18"/>
        <v>4.3749999364217128E-3</v>
      </c>
      <c r="X68" s="159">
        <f t="shared" si="19"/>
        <v>-8.0250000635782876E-3</v>
      </c>
      <c r="Y68" s="159">
        <f t="shared" si="20"/>
        <v>-8.4250000635782869E-3</v>
      </c>
      <c r="Z68" s="159">
        <f t="shared" si="21"/>
        <v>2.4554641994587272E-2</v>
      </c>
    </row>
    <row r="69" spans="1:26" ht="15" customHeight="1" x14ac:dyDescent="0.2">
      <c r="A69" s="3">
        <v>34789</v>
      </c>
      <c r="B69" s="159">
        <v>3.4799999999999998E-2</v>
      </c>
      <c r="C69" s="159">
        <v>1.32E-2</v>
      </c>
      <c r="D69" s="159">
        <v>8.5000000000000006E-3</v>
      </c>
      <c r="E69" s="159">
        <v>2.92E-2</v>
      </c>
      <c r="F69" s="159">
        <v>-4.4000000000000003E-3</v>
      </c>
      <c r="G69" s="159">
        <v>8.0999999999999996E-3</v>
      </c>
      <c r="H69" s="159">
        <v>-5.5100000000000003E-2</v>
      </c>
      <c r="I69" s="159">
        <v>5.96E-2</v>
      </c>
      <c r="J69" s="159">
        <v>9.4600000000000004E-2</v>
      </c>
      <c r="K69" s="159">
        <v>3.8E-3</v>
      </c>
      <c r="L69" s="159">
        <v>2.9340237072091196E-2</v>
      </c>
      <c r="M69" s="159"/>
      <c r="N69" s="159">
        <v>4.7766665617624922E-3</v>
      </c>
      <c r="P69" s="159">
        <f t="shared" si="11"/>
        <v>3.0023333438237505E-2</v>
      </c>
      <c r="Q69" s="159">
        <f t="shared" si="12"/>
        <v>8.4233334382375069E-3</v>
      </c>
      <c r="R69" s="159">
        <f t="shared" si="13"/>
        <v>3.7233334382375085E-3</v>
      </c>
      <c r="S69" s="159">
        <f t="shared" si="14"/>
        <v>2.4423333438237507E-2</v>
      </c>
      <c r="T69" s="159">
        <f t="shared" si="15"/>
        <v>-9.1766665617624924E-3</v>
      </c>
      <c r="U69" s="159">
        <f t="shared" si="16"/>
        <v>3.3233334382375074E-3</v>
      </c>
      <c r="V69" s="159">
        <f t="shared" si="17"/>
        <v>-5.9876666561762493E-2</v>
      </c>
      <c r="W69" s="159">
        <f t="shared" si="18"/>
        <v>5.4823333438237511E-2</v>
      </c>
      <c r="X69" s="159">
        <f t="shared" si="19"/>
        <v>8.9823333438237507E-2</v>
      </c>
      <c r="Y69" s="159">
        <f t="shared" si="20"/>
        <v>-9.7666656176249216E-4</v>
      </c>
      <c r="Z69" s="159">
        <f t="shared" si="21"/>
        <v>2.4563570510328703E-2</v>
      </c>
    </row>
    <row r="70" spans="1:26" ht="15" customHeight="1" x14ac:dyDescent="0.2">
      <c r="A70" s="3">
        <v>34758</v>
      </c>
      <c r="B70" s="159">
        <v>4.4999999999999997E-3</v>
      </c>
      <c r="C70" s="159">
        <v>1.18E-2</v>
      </c>
      <c r="D70" s="159">
        <v>2.41E-2</v>
      </c>
      <c r="E70" s="159">
        <v>9.4000000000000004E-3</v>
      </c>
      <c r="F70" s="159">
        <v>6.4999999999999997E-3</v>
      </c>
      <c r="G70" s="159">
        <v>3.04E-2</v>
      </c>
      <c r="H70" s="159">
        <v>-7.8799999999999995E-2</v>
      </c>
      <c r="I70" s="159">
        <v>6.9999999999999999E-4</v>
      </c>
      <c r="J70" s="159">
        <v>-1.2699999999999999E-2</v>
      </c>
      <c r="K70" s="159">
        <v>-2.24E-2</v>
      </c>
      <c r="L70" s="159">
        <v>3.8804948628735826E-2</v>
      </c>
      <c r="M70" s="159"/>
      <c r="N70" s="159">
        <v>4.8291667302449541E-3</v>
      </c>
      <c r="P70" s="159">
        <f t="shared" si="11"/>
        <v>-3.2916673024495444E-4</v>
      </c>
      <c r="Q70" s="159">
        <f t="shared" si="12"/>
        <v>6.9708332697550456E-3</v>
      </c>
      <c r="R70" s="159">
        <f t="shared" si="13"/>
        <v>1.9270833269755046E-2</v>
      </c>
      <c r="S70" s="159">
        <f t="shared" si="14"/>
        <v>4.5708332697550463E-3</v>
      </c>
      <c r="T70" s="159">
        <f t="shared" si="15"/>
        <v>1.6708332697550456E-3</v>
      </c>
      <c r="U70" s="159">
        <f t="shared" si="16"/>
        <v>2.5570833269755046E-2</v>
      </c>
      <c r="V70" s="159">
        <f t="shared" si="17"/>
        <v>-8.3629166730244953E-2</v>
      </c>
      <c r="W70" s="159">
        <f t="shared" si="18"/>
        <v>-4.129166730244954E-3</v>
      </c>
      <c r="X70" s="159">
        <f t="shared" si="19"/>
        <v>-1.7529166730244954E-2</v>
      </c>
      <c r="Y70" s="159">
        <f t="shared" si="20"/>
        <v>-2.7229166730244954E-2</v>
      </c>
      <c r="Z70" s="159">
        <f t="shared" si="21"/>
        <v>3.3975781898490875E-2</v>
      </c>
    </row>
    <row r="71" spans="1:26" ht="15" customHeight="1" x14ac:dyDescent="0.2">
      <c r="A71" s="3">
        <v>34730</v>
      </c>
      <c r="B71" s="159">
        <v>-1.9699999999999999E-2</v>
      </c>
      <c r="C71" s="159">
        <v>-6.1999999999999998E-3</v>
      </c>
      <c r="D71" s="159">
        <v>5.1000000000000004E-3</v>
      </c>
      <c r="E71" s="159">
        <v>4.7000000000000002E-3</v>
      </c>
      <c r="F71" s="159">
        <v>2.7000000000000001E-3</v>
      </c>
      <c r="G71" s="159">
        <v>-7.4000000000000003E-3</v>
      </c>
      <c r="H71" s="159">
        <v>-9.98E-2</v>
      </c>
      <c r="I71" s="159">
        <v>-2.47E-2</v>
      </c>
      <c r="J71" s="159">
        <v>-8.0000000000000004E-4</v>
      </c>
      <c r="K71" s="159">
        <v>1.3100000000000001E-2</v>
      </c>
      <c r="L71" s="159">
        <v>2.5766754095702931E-2</v>
      </c>
      <c r="M71" s="159"/>
      <c r="N71" s="159">
        <v>4.8375002543131511E-3</v>
      </c>
      <c r="P71" s="159">
        <f t="shared" si="11"/>
        <v>-2.4537500254313151E-2</v>
      </c>
      <c r="Q71" s="159">
        <f t="shared" si="12"/>
        <v>-1.1037500254313151E-2</v>
      </c>
      <c r="R71" s="159">
        <f t="shared" si="13"/>
        <v>2.6249974568684931E-4</v>
      </c>
      <c r="S71" s="159">
        <f t="shared" si="14"/>
        <v>-1.3750025431315087E-4</v>
      </c>
      <c r="T71" s="159">
        <f t="shared" si="15"/>
        <v>-2.1375002543131509E-3</v>
      </c>
      <c r="U71" s="159">
        <f t="shared" si="16"/>
        <v>-1.2237500254313152E-2</v>
      </c>
      <c r="V71" s="159">
        <f t="shared" si="17"/>
        <v>-0.10463750025431315</v>
      </c>
      <c r="W71" s="159">
        <f t="shared" si="18"/>
        <v>-2.9537500254313152E-2</v>
      </c>
      <c r="X71" s="159">
        <f t="shared" si="19"/>
        <v>-5.6375002543131514E-3</v>
      </c>
      <c r="Y71" s="159">
        <f t="shared" si="20"/>
        <v>8.2624997456868486E-3</v>
      </c>
      <c r="Z71" s="159">
        <f t="shared" si="21"/>
        <v>2.0929253841389779E-2</v>
      </c>
    </row>
    <row r="72" spans="1:26" ht="15" customHeight="1" x14ac:dyDescent="0.2">
      <c r="A72" s="3">
        <v>34699</v>
      </c>
      <c r="B72" s="159">
        <v>-2.0999999999999999E-3</v>
      </c>
      <c r="C72" s="159">
        <v>-1.9199999999999998E-2</v>
      </c>
      <c r="D72" s="159">
        <v>-7.7999999999999996E-3</v>
      </c>
      <c r="E72" s="159">
        <v>1.2699999999999999E-2</v>
      </c>
      <c r="F72" s="159">
        <v>5.7000000000000002E-3</v>
      </c>
      <c r="G72" s="159">
        <v>-3.5000000000000001E-3</v>
      </c>
      <c r="H72" s="159">
        <v>-4.2099999999999999E-2</v>
      </c>
      <c r="I72" s="159">
        <v>5.0000000000000001E-3</v>
      </c>
      <c r="J72" s="159">
        <v>-1.89E-2</v>
      </c>
      <c r="K72" s="159">
        <v>-1.9E-3</v>
      </c>
      <c r="L72" s="159">
        <v>1.4667016282089865E-2</v>
      </c>
      <c r="M72" s="159"/>
      <c r="N72" s="159">
        <v>4.6966667970021565E-3</v>
      </c>
      <c r="P72" s="159">
        <f t="shared" si="11"/>
        <v>-6.7966667970021568E-3</v>
      </c>
      <c r="Q72" s="159">
        <f t="shared" si="12"/>
        <v>-2.3896666797002156E-2</v>
      </c>
      <c r="R72" s="159">
        <f t="shared" si="13"/>
        <v>-1.2496666797002155E-2</v>
      </c>
      <c r="S72" s="159">
        <f t="shared" si="14"/>
        <v>8.0033332029978421E-3</v>
      </c>
      <c r="T72" s="159">
        <f t="shared" si="15"/>
        <v>1.0033332029978437E-3</v>
      </c>
      <c r="U72" s="159">
        <f t="shared" si="16"/>
        <v>-8.196666797002157E-3</v>
      </c>
      <c r="V72" s="159">
        <f t="shared" si="17"/>
        <v>-4.6796666797002152E-2</v>
      </c>
      <c r="W72" s="159">
        <f t="shared" si="18"/>
        <v>3.0333320299784361E-4</v>
      </c>
      <c r="X72" s="159">
        <f t="shared" si="19"/>
        <v>-2.3596666797002157E-2</v>
      </c>
      <c r="Y72" s="159">
        <f t="shared" si="20"/>
        <v>-6.5966667970021563E-3</v>
      </c>
      <c r="Z72" s="159">
        <f t="shared" si="21"/>
        <v>9.9703494850877095E-3</v>
      </c>
    </row>
    <row r="73" spans="1:26" ht="15" customHeight="1" x14ac:dyDescent="0.2">
      <c r="A73" s="3">
        <v>34668</v>
      </c>
      <c r="B73" s="159">
        <v>4.1000000000000003E-3</v>
      </c>
      <c r="C73" s="159">
        <v>-1.6999999999999999E-3</v>
      </c>
      <c r="D73" s="159">
        <v>-1.06E-2</v>
      </c>
      <c r="E73" s="159">
        <v>-3.0000000000000001E-3</v>
      </c>
      <c r="F73" s="159">
        <v>6.8999999999999999E-3</v>
      </c>
      <c r="G73" s="159">
        <v>-2.8500000000000001E-2</v>
      </c>
      <c r="H73" s="159">
        <v>-1.4200000000000001E-2</v>
      </c>
      <c r="I73" s="159">
        <v>2.0899999999999998E-2</v>
      </c>
      <c r="J73" s="159">
        <v>1.6500000000000001E-2</v>
      </c>
      <c r="K73" s="159">
        <v>3.0300000000000001E-2</v>
      </c>
      <c r="L73" s="159">
        <v>-3.6585676367192142E-2</v>
      </c>
      <c r="M73" s="159"/>
      <c r="N73" s="159">
        <v>4.377083381017049E-3</v>
      </c>
      <c r="P73" s="159">
        <f t="shared" si="11"/>
        <v>-2.7708338101704866E-4</v>
      </c>
      <c r="Q73" s="159">
        <f t="shared" si="12"/>
        <v>-6.0770833810170491E-3</v>
      </c>
      <c r="R73" s="159">
        <f t="shared" si="13"/>
        <v>-1.497708338101705E-2</v>
      </c>
      <c r="S73" s="159">
        <f t="shared" si="14"/>
        <v>-7.3770833810170491E-3</v>
      </c>
      <c r="T73" s="159">
        <f t="shared" si="15"/>
        <v>2.5229166189829509E-3</v>
      </c>
      <c r="U73" s="159">
        <f t="shared" si="16"/>
        <v>-3.2877083381017053E-2</v>
      </c>
      <c r="V73" s="159">
        <f t="shared" si="17"/>
        <v>-1.8577083381017049E-2</v>
      </c>
      <c r="W73" s="159">
        <f t="shared" si="18"/>
        <v>1.652291661898295E-2</v>
      </c>
      <c r="X73" s="159">
        <f t="shared" si="19"/>
        <v>1.2122916618982953E-2</v>
      </c>
      <c r="Y73" s="159">
        <f t="shared" si="20"/>
        <v>2.5922916618982952E-2</v>
      </c>
      <c r="Z73" s="159">
        <f t="shared" si="21"/>
        <v>-4.096275974820919E-2</v>
      </c>
    </row>
    <row r="74" spans="1:26" ht="15" customHeight="1" x14ac:dyDescent="0.2">
      <c r="A74" s="3">
        <v>34638</v>
      </c>
      <c r="B74" s="159">
        <v>-1.35E-2</v>
      </c>
      <c r="C74" s="159">
        <v>-1.3599999999999999E-2</v>
      </c>
      <c r="D74" s="159">
        <v>-7.3000000000000001E-3</v>
      </c>
      <c r="E74" s="159">
        <v>-3.7000000000000002E-3</v>
      </c>
      <c r="F74" s="159">
        <v>8.8999999999999999E-3</v>
      </c>
      <c r="G74" s="159">
        <v>2.7000000000000001E-3</v>
      </c>
      <c r="H74" s="159">
        <v>-3.5099999999999999E-2</v>
      </c>
      <c r="I74" s="159">
        <v>-2.2200000000000001E-2</v>
      </c>
      <c r="J74" s="159">
        <v>1.18E-2</v>
      </c>
      <c r="K74" s="159">
        <v>-4.1000000000000003E-3</v>
      </c>
      <c r="L74" s="159">
        <v>2.2299662495621968E-2</v>
      </c>
      <c r="M74" s="159"/>
      <c r="N74" s="159">
        <v>4.1312499841054283E-3</v>
      </c>
      <c r="P74" s="159">
        <f t="shared" si="11"/>
        <v>-1.7631249984105427E-2</v>
      </c>
      <c r="Q74" s="159">
        <f t="shared" si="12"/>
        <v>-1.7731249984105427E-2</v>
      </c>
      <c r="R74" s="159">
        <f t="shared" si="13"/>
        <v>-1.1431249984105428E-2</v>
      </c>
      <c r="S74" s="159">
        <f t="shared" si="14"/>
        <v>-7.8312499841054276E-3</v>
      </c>
      <c r="T74" s="159">
        <f t="shared" si="15"/>
        <v>4.7687500158945717E-3</v>
      </c>
      <c r="U74" s="159">
        <f t="shared" si="16"/>
        <v>-1.4312499841054281E-3</v>
      </c>
      <c r="V74" s="159">
        <f t="shared" si="17"/>
        <v>-3.9231249984105425E-2</v>
      </c>
      <c r="W74" s="159">
        <f t="shared" si="18"/>
        <v>-2.633124998410543E-2</v>
      </c>
      <c r="X74" s="159">
        <f t="shared" si="19"/>
        <v>7.6687500158945715E-3</v>
      </c>
      <c r="Y74" s="159">
        <f t="shared" si="20"/>
        <v>-8.2312499841054286E-3</v>
      </c>
      <c r="Z74" s="159">
        <f t="shared" si="21"/>
        <v>1.8168412511516539E-2</v>
      </c>
    </row>
    <row r="75" spans="1:26" ht="15" customHeight="1" x14ac:dyDescent="0.2">
      <c r="A75" s="3">
        <v>34607</v>
      </c>
      <c r="B75" s="159">
        <v>6.7000000000000002E-3</v>
      </c>
      <c r="C75" s="159">
        <v>-1.1900000000000001E-2</v>
      </c>
      <c r="D75" s="159">
        <v>7.4999999999999997E-3</v>
      </c>
      <c r="E75" s="159">
        <v>-9.4000000000000004E-3</v>
      </c>
      <c r="F75" s="159">
        <v>7.0000000000000001E-3</v>
      </c>
      <c r="G75" s="159">
        <v>2.5000000000000001E-3</v>
      </c>
      <c r="H75" s="159">
        <v>5.1999999999999998E-2</v>
      </c>
      <c r="I75" s="159">
        <v>2.5000000000000001E-3</v>
      </c>
      <c r="J75" s="159">
        <v>2.0299999999999999E-2</v>
      </c>
      <c r="K75" s="159">
        <v>1.5800000000000002E-2</v>
      </c>
      <c r="L75" s="159">
        <v>-2.4619928795877728E-2</v>
      </c>
      <c r="M75" s="159"/>
      <c r="N75" s="159">
        <v>3.8666669527689618E-3</v>
      </c>
      <c r="P75" s="159">
        <f t="shared" si="11"/>
        <v>2.8333330472310385E-3</v>
      </c>
      <c r="Q75" s="159">
        <f t="shared" si="12"/>
        <v>-1.5766666952768963E-2</v>
      </c>
      <c r="R75" s="159">
        <f t="shared" si="13"/>
        <v>3.633333047231038E-3</v>
      </c>
      <c r="S75" s="159">
        <f t="shared" si="14"/>
        <v>-1.3266666952768963E-2</v>
      </c>
      <c r="T75" s="159">
        <f t="shared" si="15"/>
        <v>3.1333330472310384E-3</v>
      </c>
      <c r="U75" s="159">
        <f t="shared" si="16"/>
        <v>-1.3666669527689617E-3</v>
      </c>
      <c r="V75" s="159">
        <f t="shared" si="17"/>
        <v>4.8133333047231039E-2</v>
      </c>
      <c r="W75" s="159">
        <f t="shared" si="18"/>
        <v>-1.3666669527689617E-3</v>
      </c>
      <c r="X75" s="159">
        <f t="shared" si="19"/>
        <v>1.6433333047231036E-2</v>
      </c>
      <c r="Y75" s="159">
        <f t="shared" si="20"/>
        <v>1.1933333047231039E-2</v>
      </c>
      <c r="Z75" s="159">
        <f t="shared" si="21"/>
        <v>-2.848659574864669E-2</v>
      </c>
    </row>
    <row r="76" spans="1:26" ht="15" customHeight="1" x14ac:dyDescent="0.2">
      <c r="A76" s="3">
        <v>34577</v>
      </c>
      <c r="B76" s="159">
        <v>2.7699999999999999E-2</v>
      </c>
      <c r="C76" s="159">
        <v>-4.0000000000000002E-4</v>
      </c>
      <c r="D76" s="159">
        <v>8.2000000000000007E-3</v>
      </c>
      <c r="E76" s="159">
        <v>-9.9000000000000008E-3</v>
      </c>
      <c r="F76" s="159">
        <v>-8.9999999999999998E-4</v>
      </c>
      <c r="G76" s="159">
        <v>1.6400000000000001E-2</v>
      </c>
      <c r="H76" s="159">
        <v>0.16420000000000001</v>
      </c>
      <c r="I76" s="159">
        <v>2.75E-2</v>
      </c>
      <c r="J76" s="159">
        <v>-2.7000000000000001E-3</v>
      </c>
      <c r="K76" s="159">
        <v>-5.6599999999999998E-2</v>
      </c>
      <c r="L76" s="159">
        <v>4.0832871237534742E-2</v>
      </c>
      <c r="M76" s="159"/>
      <c r="N76" s="159">
        <v>3.7479166189829508E-3</v>
      </c>
      <c r="P76" s="159">
        <f t="shared" si="11"/>
        <v>2.3952083381017047E-2</v>
      </c>
      <c r="Q76" s="159">
        <f t="shared" si="12"/>
        <v>-4.1479166189829506E-3</v>
      </c>
      <c r="R76" s="159">
        <f t="shared" si="13"/>
        <v>4.4520833810170503E-3</v>
      </c>
      <c r="S76" s="159">
        <f t="shared" si="14"/>
        <v>-1.3647916618982951E-2</v>
      </c>
      <c r="T76" s="159">
        <f t="shared" si="15"/>
        <v>-4.647916618982951E-3</v>
      </c>
      <c r="U76" s="159">
        <f t="shared" si="16"/>
        <v>1.2652083381017051E-2</v>
      </c>
      <c r="V76" s="159">
        <f t="shared" si="17"/>
        <v>0.16045208338101707</v>
      </c>
      <c r="W76" s="159">
        <f t="shared" si="18"/>
        <v>2.3752083381017048E-2</v>
      </c>
      <c r="X76" s="159">
        <f t="shared" si="19"/>
        <v>-6.4479166189829514E-3</v>
      </c>
      <c r="Y76" s="159">
        <f t="shared" si="20"/>
        <v>-6.034791661898295E-2</v>
      </c>
      <c r="Z76" s="159">
        <f t="shared" si="21"/>
        <v>3.7084954618551789E-2</v>
      </c>
    </row>
    <row r="77" spans="1:26" ht="15" customHeight="1" x14ac:dyDescent="0.2">
      <c r="A77" s="3">
        <v>34546</v>
      </c>
      <c r="B77" s="159">
        <v>3.5000000000000001E-3</v>
      </c>
      <c r="C77" s="159">
        <v>1.4E-3</v>
      </c>
      <c r="D77" s="159">
        <v>5.4000000000000003E-3</v>
      </c>
      <c r="E77" s="159">
        <v>-0.01</v>
      </c>
      <c r="F77" s="159">
        <v>-1.8E-3</v>
      </c>
      <c r="G77" s="159">
        <v>1.29E-2</v>
      </c>
      <c r="H77" s="159">
        <v>5.8099999999999999E-2</v>
      </c>
      <c r="I77" s="159">
        <v>-3.5000000000000001E-3</v>
      </c>
      <c r="J77" s="159">
        <v>-1.01E-2</v>
      </c>
      <c r="K77" s="159">
        <v>-1.18E-2</v>
      </c>
      <c r="L77" s="159">
        <v>3.2670209148516906E-2</v>
      </c>
      <c r="M77" s="159"/>
      <c r="N77" s="159">
        <v>3.6249999205271405E-3</v>
      </c>
      <c r="P77" s="159">
        <f t="shared" si="11"/>
        <v>-1.2499992052714039E-4</v>
      </c>
      <c r="Q77" s="159">
        <f t="shared" si="12"/>
        <v>-2.2249999205271407E-3</v>
      </c>
      <c r="R77" s="159">
        <f t="shared" si="13"/>
        <v>1.7750000794728598E-3</v>
      </c>
      <c r="S77" s="159">
        <f t="shared" si="14"/>
        <v>-1.3624999920527141E-2</v>
      </c>
      <c r="T77" s="159">
        <f t="shared" si="15"/>
        <v>-5.4249999205271404E-3</v>
      </c>
      <c r="U77" s="159">
        <f t="shared" si="16"/>
        <v>9.2750000794728591E-3</v>
      </c>
      <c r="V77" s="159">
        <f t="shared" si="17"/>
        <v>5.4475000079472861E-2</v>
      </c>
      <c r="W77" s="159">
        <f t="shared" si="18"/>
        <v>-7.1249999205271405E-3</v>
      </c>
      <c r="X77" s="159">
        <f t="shared" si="19"/>
        <v>-1.3724999920527141E-2</v>
      </c>
      <c r="Y77" s="159">
        <f t="shared" si="20"/>
        <v>-1.5424999920527141E-2</v>
      </c>
      <c r="Z77" s="159">
        <f t="shared" si="21"/>
        <v>2.9045209227989765E-2</v>
      </c>
    </row>
    <row r="78" spans="1:26" ht="15" customHeight="1" x14ac:dyDescent="0.2">
      <c r="A78" s="3">
        <v>34515</v>
      </c>
      <c r="B78" s="159">
        <v>-8.0999999999999996E-3</v>
      </c>
      <c r="C78" s="159">
        <v>2.0999999999999999E-3</v>
      </c>
      <c r="D78" s="159">
        <v>-1.2999999999999999E-3</v>
      </c>
      <c r="E78" s="159">
        <v>7.0000000000000001E-3</v>
      </c>
      <c r="F78" s="159">
        <v>-4.0000000000000001E-3</v>
      </c>
      <c r="G78" s="159">
        <v>-2.3099999999999999E-2</v>
      </c>
      <c r="H78" s="159">
        <v>4.7000000000000002E-3</v>
      </c>
      <c r="I78" s="159">
        <v>-9.1999999999999998E-3</v>
      </c>
      <c r="J78" s="159">
        <v>4.1500000000000002E-2</v>
      </c>
      <c r="K78" s="159">
        <v>6.3500000000000001E-2</v>
      </c>
      <c r="L78" s="159">
        <v>-2.4678439212201937E-2</v>
      </c>
      <c r="M78" s="159"/>
      <c r="N78" s="159">
        <v>3.4833331902821858E-3</v>
      </c>
      <c r="P78" s="159">
        <f t="shared" si="11"/>
        <v>-1.1583333190282185E-2</v>
      </c>
      <c r="Q78" s="159">
        <f t="shared" si="12"/>
        <v>-1.3833331902821859E-3</v>
      </c>
      <c r="R78" s="159">
        <f t="shared" si="13"/>
        <v>-4.7833331902821857E-3</v>
      </c>
      <c r="S78" s="159">
        <f t="shared" si="14"/>
        <v>3.5166668097178144E-3</v>
      </c>
      <c r="T78" s="159">
        <f t="shared" si="15"/>
        <v>-7.4833331902821858E-3</v>
      </c>
      <c r="U78" s="159">
        <f t="shared" si="16"/>
        <v>-2.6583333190282186E-2</v>
      </c>
      <c r="V78" s="159">
        <f t="shared" si="17"/>
        <v>1.2166668097178144E-3</v>
      </c>
      <c r="W78" s="159">
        <f t="shared" si="18"/>
        <v>-1.2683333190282186E-2</v>
      </c>
      <c r="X78" s="159">
        <f t="shared" si="19"/>
        <v>3.8016666809717818E-2</v>
      </c>
      <c r="Y78" s="159">
        <f t="shared" si="20"/>
        <v>6.0016666809717817E-2</v>
      </c>
      <c r="Z78" s="159">
        <f t="shared" si="21"/>
        <v>-2.8161772402484124E-2</v>
      </c>
    </row>
    <row r="79" spans="1:26" ht="15" customHeight="1" x14ac:dyDescent="0.2">
      <c r="A79" s="3">
        <v>34485</v>
      </c>
      <c r="B79" s="159">
        <v>2.23E-2</v>
      </c>
      <c r="C79" s="159">
        <v>-1.0200000000000001E-2</v>
      </c>
      <c r="D79" s="159">
        <v>-1.5E-3</v>
      </c>
      <c r="E79" s="159">
        <v>-1.1000000000000001E-3</v>
      </c>
      <c r="F79" s="159">
        <v>7.9000000000000008E-3</v>
      </c>
      <c r="G79" s="159">
        <v>5.7000000000000002E-3</v>
      </c>
      <c r="H79" s="159">
        <v>-7.3000000000000001E-3</v>
      </c>
      <c r="I79" s="159">
        <v>3.7999999999999999E-2</v>
      </c>
      <c r="J79" s="159">
        <v>7.6E-3</v>
      </c>
      <c r="K79" s="159">
        <v>2.2499999999999999E-2</v>
      </c>
      <c r="L79" s="159">
        <v>1.6244008399799652E-2</v>
      </c>
      <c r="M79" s="159"/>
      <c r="N79" s="159">
        <v>3.4937496980031331E-3</v>
      </c>
      <c r="P79" s="159">
        <f t="shared" si="11"/>
        <v>1.8806250301996869E-2</v>
      </c>
      <c r="Q79" s="159">
        <f t="shared" si="12"/>
        <v>-1.3693749698003134E-2</v>
      </c>
      <c r="R79" s="159">
        <f t="shared" si="13"/>
        <v>-4.9937496980031332E-3</v>
      </c>
      <c r="S79" s="159">
        <f t="shared" si="14"/>
        <v>-4.593749698003133E-3</v>
      </c>
      <c r="T79" s="159">
        <f t="shared" si="15"/>
        <v>4.4062503019968672E-3</v>
      </c>
      <c r="U79" s="159">
        <f t="shared" si="16"/>
        <v>2.2062503019968671E-3</v>
      </c>
      <c r="V79" s="159">
        <f t="shared" si="17"/>
        <v>-1.0793749698003133E-2</v>
      </c>
      <c r="W79" s="159">
        <f t="shared" si="18"/>
        <v>3.4506250301996867E-2</v>
      </c>
      <c r="X79" s="159">
        <f t="shared" si="19"/>
        <v>4.1062503019968673E-3</v>
      </c>
      <c r="Y79" s="159">
        <f t="shared" si="20"/>
        <v>1.9006250301996867E-2</v>
      </c>
      <c r="Z79" s="159">
        <f t="shared" si="21"/>
        <v>1.2750258701796519E-2</v>
      </c>
    </row>
    <row r="80" spans="1:26" ht="15" customHeight="1" x14ac:dyDescent="0.2">
      <c r="A80" s="3">
        <v>34454</v>
      </c>
      <c r="B80" s="159">
        <v>-1.7399999999999999E-2</v>
      </c>
      <c r="C80" s="159">
        <v>-2.52E-2</v>
      </c>
      <c r="D80" s="159">
        <v>-6.6E-3</v>
      </c>
      <c r="E80" s="159">
        <v>2.5000000000000001E-3</v>
      </c>
      <c r="F80" s="159">
        <v>-2E-3</v>
      </c>
      <c r="G80" s="159">
        <v>-1.5599999999999999E-2</v>
      </c>
      <c r="H80" s="159">
        <v>-8.3599999999999994E-2</v>
      </c>
      <c r="I80" s="159">
        <v>-1.5900000000000001E-2</v>
      </c>
      <c r="J80" s="159">
        <v>8.6E-3</v>
      </c>
      <c r="K80" s="159">
        <v>1.2800000000000001E-2</v>
      </c>
      <c r="L80" s="159">
        <v>1.2656801194174097E-2</v>
      </c>
      <c r="M80" s="159"/>
      <c r="N80" s="159">
        <v>3.075000047683716E-3</v>
      </c>
      <c r="P80" s="159">
        <f t="shared" si="11"/>
        <v>-2.0475000047683715E-2</v>
      </c>
      <c r="Q80" s="159">
        <f t="shared" si="12"/>
        <v>-2.8275000047683716E-2</v>
      </c>
      <c r="R80" s="159">
        <f t="shared" si="13"/>
        <v>-9.6750000476837159E-3</v>
      </c>
      <c r="S80" s="159">
        <f t="shared" si="14"/>
        <v>-5.7500004768371591E-4</v>
      </c>
      <c r="T80" s="159">
        <f t="shared" si="15"/>
        <v>-5.075000047683716E-3</v>
      </c>
      <c r="U80" s="159">
        <f t="shared" si="16"/>
        <v>-1.8675000047683715E-2</v>
      </c>
      <c r="V80" s="159">
        <f t="shared" si="17"/>
        <v>-8.6675000047683706E-2</v>
      </c>
      <c r="W80" s="159">
        <f t="shared" si="18"/>
        <v>-1.8975000047683717E-2</v>
      </c>
      <c r="X80" s="159">
        <f t="shared" si="19"/>
        <v>5.524999952316284E-3</v>
      </c>
      <c r="Y80" s="159">
        <f t="shared" si="20"/>
        <v>9.7249999523162847E-3</v>
      </c>
      <c r="Z80" s="159">
        <f t="shared" si="21"/>
        <v>9.5818011464903815E-3</v>
      </c>
    </row>
    <row r="81" spans="1:26" ht="15" customHeight="1" x14ac:dyDescent="0.2">
      <c r="A81" s="3">
        <v>34424</v>
      </c>
      <c r="B81" s="159">
        <v>-3.5700000000000003E-2</v>
      </c>
      <c r="C81" s="159">
        <v>-9.7000000000000003E-3</v>
      </c>
      <c r="D81" s="159">
        <v>-1.29E-2</v>
      </c>
      <c r="E81" s="159">
        <v>-2.3999999999999998E-3</v>
      </c>
      <c r="F81" s="159">
        <v>-1.6799999999999999E-2</v>
      </c>
      <c r="G81" s="159">
        <v>-3.9E-2</v>
      </c>
      <c r="H81" s="159">
        <v>-4.6100000000000002E-2</v>
      </c>
      <c r="I81" s="159">
        <v>-4.2700000000000002E-2</v>
      </c>
      <c r="J81" s="159">
        <v>2.5999999999999999E-2</v>
      </c>
      <c r="K81" s="159">
        <v>7.1900000000000006E-2</v>
      </c>
      <c r="L81" s="159">
        <v>-4.3763897466581957E-2</v>
      </c>
      <c r="M81" s="159"/>
      <c r="N81" s="159">
        <v>2.9374998807907104E-3</v>
      </c>
      <c r="P81" s="159">
        <f t="shared" si="11"/>
        <v>-3.863749988079071E-2</v>
      </c>
      <c r="Q81" s="159">
        <f t="shared" si="12"/>
        <v>-1.2637499880790711E-2</v>
      </c>
      <c r="R81" s="159">
        <f t="shared" si="13"/>
        <v>-1.5837499880790709E-2</v>
      </c>
      <c r="S81" s="159">
        <f t="shared" si="14"/>
        <v>-5.3374998807907102E-3</v>
      </c>
      <c r="T81" s="159">
        <f t="shared" si="15"/>
        <v>-1.973749988079071E-2</v>
      </c>
      <c r="U81" s="159">
        <f t="shared" si="16"/>
        <v>-4.1937499880790707E-2</v>
      </c>
      <c r="V81" s="159">
        <f t="shared" si="17"/>
        <v>-4.9037499880790709E-2</v>
      </c>
      <c r="W81" s="159">
        <f t="shared" si="18"/>
        <v>-4.5637499880790709E-2</v>
      </c>
      <c r="X81" s="159">
        <f t="shared" si="19"/>
        <v>2.3062500119209288E-2</v>
      </c>
      <c r="Y81" s="159">
        <f t="shared" si="20"/>
        <v>6.8962500119209291E-2</v>
      </c>
      <c r="Z81" s="159">
        <f t="shared" si="21"/>
        <v>-4.6701397347372664E-2</v>
      </c>
    </row>
    <row r="82" spans="1:26" ht="15" customHeight="1" x14ac:dyDescent="0.2">
      <c r="A82" s="3">
        <v>34393</v>
      </c>
      <c r="B82" s="159">
        <v>-4.0899999999999999E-2</v>
      </c>
      <c r="C82" s="159">
        <v>1.5E-3</v>
      </c>
      <c r="D82" s="159">
        <v>-1.5E-3</v>
      </c>
      <c r="E82" s="159">
        <v>2.3999999999999998E-3</v>
      </c>
      <c r="F82" s="159">
        <v>-0.02</v>
      </c>
      <c r="G82" s="159">
        <v>-2.47E-2</v>
      </c>
      <c r="H82" s="159">
        <v>-1.14E-2</v>
      </c>
      <c r="I82" s="159">
        <v>-5.6500000000000002E-2</v>
      </c>
      <c r="J82" s="159">
        <v>1.2E-2</v>
      </c>
      <c r="K82" s="159">
        <v>0.02</v>
      </c>
      <c r="L82" s="159">
        <v>-2.7307916566669994E-2</v>
      </c>
      <c r="M82" s="159"/>
      <c r="N82" s="159">
        <v>2.6750000317891441E-3</v>
      </c>
      <c r="P82" s="159">
        <f t="shared" si="11"/>
        <v>-4.3575000031789143E-2</v>
      </c>
      <c r="Q82" s="159">
        <f t="shared" si="12"/>
        <v>-1.1750000317891441E-3</v>
      </c>
      <c r="R82" s="159">
        <f t="shared" si="13"/>
        <v>-4.1750000317891441E-3</v>
      </c>
      <c r="S82" s="159">
        <f t="shared" si="14"/>
        <v>-2.750000317891443E-4</v>
      </c>
      <c r="T82" s="159">
        <f t="shared" si="15"/>
        <v>-2.2675000031789145E-2</v>
      </c>
      <c r="U82" s="159">
        <f t="shared" si="16"/>
        <v>-2.7375000031789144E-2</v>
      </c>
      <c r="V82" s="159">
        <f t="shared" si="17"/>
        <v>-1.4075000031789145E-2</v>
      </c>
      <c r="W82" s="159">
        <f t="shared" si="18"/>
        <v>-5.9175000031789146E-2</v>
      </c>
      <c r="X82" s="159">
        <f t="shared" si="19"/>
        <v>9.3249999682108557E-3</v>
      </c>
      <c r="Y82" s="159">
        <f t="shared" si="20"/>
        <v>1.7324999968210856E-2</v>
      </c>
      <c r="Z82" s="159">
        <f t="shared" si="21"/>
        <v>-2.9982916598459138E-2</v>
      </c>
    </row>
    <row r="83" spans="1:26" ht="15" customHeight="1" x14ac:dyDescent="0.2">
      <c r="A83" s="3">
        <v>34365</v>
      </c>
      <c r="B83" s="159">
        <v>1.14E-2</v>
      </c>
      <c r="C83" s="159">
        <v>3.5999999999999999E-3</v>
      </c>
      <c r="D83" s="159">
        <v>3.6799999999999999E-2</v>
      </c>
      <c r="E83" s="159">
        <v>-5.1999999999999998E-3</v>
      </c>
      <c r="F83" s="159">
        <v>1.2999999999999999E-2</v>
      </c>
      <c r="G83" s="159">
        <v>1.2E-2</v>
      </c>
      <c r="H83" s="159">
        <v>0.10539999999999999</v>
      </c>
      <c r="I83" s="159">
        <v>1.6999999999999999E-3</v>
      </c>
      <c r="J83" s="159">
        <v>2.2000000000000001E-3</v>
      </c>
      <c r="K83" s="159">
        <v>-1.6E-2</v>
      </c>
      <c r="L83" s="159">
        <v>3.3830045770107488E-2</v>
      </c>
      <c r="M83" s="159"/>
      <c r="N83" s="159">
        <v>2.5145832697550455E-3</v>
      </c>
      <c r="P83" s="159">
        <f t="shared" si="11"/>
        <v>8.8854167302449549E-3</v>
      </c>
      <c r="Q83" s="159">
        <f t="shared" si="12"/>
        <v>1.0854167302449544E-3</v>
      </c>
      <c r="R83" s="159">
        <f t="shared" si="13"/>
        <v>3.4285416730244954E-2</v>
      </c>
      <c r="S83" s="159">
        <f t="shared" si="14"/>
        <v>-7.7145832697550452E-3</v>
      </c>
      <c r="T83" s="159">
        <f t="shared" si="15"/>
        <v>1.0485416730244954E-2</v>
      </c>
      <c r="U83" s="159">
        <f t="shared" si="16"/>
        <v>9.4854167302449548E-3</v>
      </c>
      <c r="V83" s="159">
        <f t="shared" si="17"/>
        <v>0.10288541673024496</v>
      </c>
      <c r="W83" s="159">
        <f t="shared" si="18"/>
        <v>-8.1458326975504558E-4</v>
      </c>
      <c r="X83" s="159">
        <f t="shared" si="19"/>
        <v>-3.1458326975504535E-4</v>
      </c>
      <c r="Y83" s="159">
        <f t="shared" si="20"/>
        <v>-1.8514583269755046E-2</v>
      </c>
      <c r="Z83" s="159">
        <f t="shared" si="21"/>
        <v>3.1315462500352442E-2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2"/>
  <sheetViews>
    <sheetView topLeftCell="Z1" workbookViewId="0">
      <selection activeCell="AB83" sqref="AB83"/>
    </sheetView>
  </sheetViews>
  <sheetFormatPr baseColWidth="10" defaultColWidth="14.33203125" defaultRowHeight="15" customHeight="1" x14ac:dyDescent="0.2"/>
  <cols>
    <col min="1" max="16384" width="14.33203125" style="24"/>
  </cols>
  <sheetData>
    <row r="1" spans="1:32" ht="60" customHeight="1" x14ac:dyDescent="0.2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C1" s="1"/>
    </row>
    <row r="2" spans="1:32" ht="15" customHeight="1" x14ac:dyDescent="0.2">
      <c r="A2" s="23" t="s">
        <v>51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B2" s="23" t="s">
        <v>51</v>
      </c>
      <c r="AC2" s="2" t="s">
        <v>50</v>
      </c>
      <c r="AD2" s="2" t="s">
        <v>130</v>
      </c>
      <c r="AE2" s="2" t="s">
        <v>131</v>
      </c>
      <c r="AF2" s="2" t="s">
        <v>132</v>
      </c>
    </row>
    <row r="3" spans="1:32" ht="15" customHeight="1" x14ac:dyDescent="0.2">
      <c r="A3" s="3">
        <v>36799</v>
      </c>
      <c r="B3" s="159">
        <v>-9.1191668669382726E-3</v>
      </c>
      <c r="C3" s="159">
        <v>1.5180833133061726E-2</v>
      </c>
      <c r="D3" s="159">
        <v>1.0808331330617272E-3</v>
      </c>
      <c r="E3" s="159">
        <v>-6.4191668669382734E-3</v>
      </c>
      <c r="F3" s="159">
        <v>2.4808331330617266E-3</v>
      </c>
      <c r="G3" s="159">
        <v>-1.2119166866938274E-2</v>
      </c>
      <c r="H3" s="159">
        <v>-7.2919166866938279E-2</v>
      </c>
      <c r="I3" s="159">
        <v>-1.3719166866938273E-2</v>
      </c>
      <c r="J3" s="159">
        <v>-3.8419166866938276E-2</v>
      </c>
      <c r="K3" s="159">
        <v>9.3880833133061725E-2</v>
      </c>
      <c r="L3" s="159">
        <v>-5.7979176345346911E-2</v>
      </c>
      <c r="M3" s="3">
        <v>36799</v>
      </c>
      <c r="O3" s="3">
        <v>36799</v>
      </c>
      <c r="P3" s="159">
        <f t="shared" ref="P3:Z3" si="0">SUM(B3:B5)</f>
        <v>1.5863124990463259E-2</v>
      </c>
      <c r="Q3" s="159">
        <f t="shared" si="0"/>
        <v>3.6663124990463258E-2</v>
      </c>
      <c r="R3" s="159">
        <f t="shared" si="0"/>
        <v>1.3163124990463258E-2</v>
      </c>
      <c r="S3" s="159">
        <f t="shared" si="0"/>
        <v>1.0163124990463257E-2</v>
      </c>
      <c r="T3" s="159">
        <f t="shared" si="0"/>
        <v>4.6631249904632568E-3</v>
      </c>
      <c r="U3" s="159">
        <f t="shared" si="0"/>
        <v>2.0563124990463262E-2</v>
      </c>
      <c r="V3" s="159">
        <f t="shared" si="0"/>
        <v>-3.3936875009536745E-2</v>
      </c>
      <c r="W3" s="159">
        <f t="shared" si="0"/>
        <v>2.3563124990463258E-2</v>
      </c>
      <c r="X3" s="159">
        <f t="shared" si="0"/>
        <v>-5.663687500953675E-2</v>
      </c>
      <c r="Y3" s="159">
        <f t="shared" si="0"/>
        <v>4.7463124990463249E-2</v>
      </c>
      <c r="Z3" s="159">
        <f t="shared" si="0"/>
        <v>-2.1850049469125641E-2</v>
      </c>
      <c r="AB3" s="3">
        <v>36799</v>
      </c>
      <c r="AC3" s="159">
        <v>-5.7979176345346911E-2</v>
      </c>
      <c r="AD3" s="159">
        <v>5.6867499869355478E-2</v>
      </c>
      <c r="AE3" s="159">
        <v>-2.0738372993134208E-2</v>
      </c>
      <c r="AF3" s="159">
        <v>1.970664959590003E-2</v>
      </c>
    </row>
    <row r="4" spans="1:32" ht="15" customHeight="1" x14ac:dyDescent="0.2">
      <c r="A4" s="3">
        <v>36769</v>
      </c>
      <c r="B4" s="159">
        <v>2.8819791618982953E-2</v>
      </c>
      <c r="C4" s="159">
        <v>1.181979161898295E-2</v>
      </c>
      <c r="D4" s="159">
        <v>1.2019791618982952E-2</v>
      </c>
      <c r="E4" s="159">
        <v>9.2197916189829515E-3</v>
      </c>
      <c r="F4" s="159">
        <v>1.6197916189829515E-3</v>
      </c>
      <c r="G4" s="159">
        <v>4.3919791618982955E-2</v>
      </c>
      <c r="H4" s="159">
        <v>3.8119791618982955E-2</v>
      </c>
      <c r="I4" s="159">
        <v>2.411979161898295E-2</v>
      </c>
      <c r="J4" s="159">
        <v>7.2197916189829514E-3</v>
      </c>
      <c r="K4" s="159">
        <v>-7.7380208381017057E-2</v>
      </c>
      <c r="L4" s="159">
        <v>5.6867499869355478E-2</v>
      </c>
      <c r="M4" s="3">
        <v>36769</v>
      </c>
      <c r="O4" s="3">
        <v>36769</v>
      </c>
      <c r="AB4" s="3">
        <v>36769</v>
      </c>
      <c r="AC4" s="159">
        <v>5.6867499869355478E-2</v>
      </c>
      <c r="AD4" s="159">
        <v>-2.0738372993134208E-2</v>
      </c>
      <c r="AE4" s="159">
        <v>1.970664959590003E-2</v>
      </c>
      <c r="AF4" s="159">
        <v>-2.5617075437952039E-2</v>
      </c>
    </row>
    <row r="5" spans="1:32" ht="15" customHeight="1" x14ac:dyDescent="0.2">
      <c r="A5" s="3">
        <v>36738</v>
      </c>
      <c r="B5" s="159">
        <v>-3.8374997615814206E-3</v>
      </c>
      <c r="C5" s="159">
        <v>9.6625002384185792E-3</v>
      </c>
      <c r="D5" s="159">
        <v>6.2500238418579206E-5</v>
      </c>
      <c r="E5" s="159">
        <v>7.3625002384185793E-3</v>
      </c>
      <c r="F5" s="159">
        <v>5.6250023841857878E-4</v>
      </c>
      <c r="G5" s="159">
        <v>-1.1237499761581421E-2</v>
      </c>
      <c r="H5" s="159">
        <v>8.625002384185787E-4</v>
      </c>
      <c r="I5" s="159">
        <v>1.3162500238418581E-2</v>
      </c>
      <c r="J5" s="159">
        <v>-2.5437499761581422E-2</v>
      </c>
      <c r="K5" s="159">
        <v>3.096250023841858E-2</v>
      </c>
      <c r="L5" s="159">
        <v>-2.0738372993134208E-2</v>
      </c>
      <c r="M5" s="3">
        <v>36738</v>
      </c>
      <c r="O5" s="3">
        <v>36738</v>
      </c>
      <c r="AB5" s="3">
        <v>36738</v>
      </c>
      <c r="AC5" s="159">
        <v>-2.0738372993134208E-2</v>
      </c>
      <c r="AD5" s="159">
        <v>1.970664959590003E-2</v>
      </c>
      <c r="AE5" s="159">
        <v>-2.5617075437952039E-2</v>
      </c>
      <c r="AF5" s="159">
        <v>-3.497321111733414E-2</v>
      </c>
    </row>
    <row r="6" spans="1:32" ht="15" customHeight="1" x14ac:dyDescent="0.2">
      <c r="A6" s="3">
        <v>36707</v>
      </c>
      <c r="B6" s="159">
        <v>3.1819999551773073E-2</v>
      </c>
      <c r="C6" s="159">
        <v>1.491999955177307E-2</v>
      </c>
      <c r="D6" s="159">
        <v>1.4619999551773072E-2</v>
      </c>
      <c r="E6" s="159">
        <v>1.3419999551773072E-2</v>
      </c>
      <c r="F6" s="159">
        <v>4.5199995517730702E-3</v>
      </c>
      <c r="G6" s="159">
        <v>5.6519999551773073E-2</v>
      </c>
      <c r="H6" s="159">
        <v>5.0519999551773075E-2</v>
      </c>
      <c r="I6" s="159">
        <v>8.4199995517730709E-3</v>
      </c>
      <c r="J6" s="159">
        <v>-1.5980000448226929E-2</v>
      </c>
      <c r="K6" s="159">
        <v>-7.4680000448226938E-2</v>
      </c>
      <c r="L6" s="159">
        <v>1.970664959590003E-2</v>
      </c>
      <c r="M6" s="3">
        <v>36707</v>
      </c>
      <c r="O6" s="3">
        <v>36707</v>
      </c>
      <c r="P6" s="159">
        <f t="shared" ref="P6:Z6" si="1">SUM(B6:B8)</f>
        <v>-3.5834167146682742E-2</v>
      </c>
      <c r="Q6" s="159">
        <f t="shared" si="1"/>
        <v>6.0365832853317258E-2</v>
      </c>
      <c r="R6" s="159">
        <f t="shared" si="1"/>
        <v>-2.1341671466827417E-3</v>
      </c>
      <c r="S6" s="159">
        <f t="shared" si="1"/>
        <v>3.2765832853317259E-2</v>
      </c>
      <c r="T6" s="159">
        <f t="shared" si="1"/>
        <v>4.365832853317258E-3</v>
      </c>
      <c r="U6" s="159">
        <f t="shared" si="1"/>
        <v>-6.2234167146682735E-2</v>
      </c>
      <c r="V6" s="159">
        <f t="shared" si="1"/>
        <v>-7.8034167146682737E-2</v>
      </c>
      <c r="W6" s="159">
        <f t="shared" si="1"/>
        <v>-3.1534167146682744E-2</v>
      </c>
      <c r="X6" s="159">
        <f t="shared" si="1"/>
        <v>-4.2634167146682743E-2</v>
      </c>
      <c r="Y6" s="159">
        <f t="shared" si="1"/>
        <v>-3.4167146682743954E-5</v>
      </c>
      <c r="Z6" s="159">
        <f t="shared" si="1"/>
        <v>-4.0883636959386148E-2</v>
      </c>
      <c r="AB6" s="3">
        <v>36707</v>
      </c>
      <c r="AC6" s="159">
        <v>1.970664959590003E-2</v>
      </c>
      <c r="AD6" s="159">
        <v>-2.5617075437952039E-2</v>
      </c>
      <c r="AE6" s="159">
        <v>-3.497321111733414E-2</v>
      </c>
      <c r="AF6" s="159">
        <v>9.2896896078408897E-2</v>
      </c>
    </row>
    <row r="7" spans="1:32" ht="15" customHeight="1" x14ac:dyDescent="0.2">
      <c r="A7" s="3">
        <v>36677</v>
      </c>
      <c r="B7" s="159">
        <v>-1.6633333396911622E-2</v>
      </c>
      <c r="C7" s="159">
        <v>1.4466666603088379E-2</v>
      </c>
      <c r="D7" s="159">
        <v>-4.7333333969116218E-3</v>
      </c>
      <c r="E7" s="159">
        <v>9.6666666030883787E-3</v>
      </c>
      <c r="F7" s="159">
        <v>-4.7333333969116218E-3</v>
      </c>
      <c r="G7" s="159">
        <v>-3.9433333396911623E-2</v>
      </c>
      <c r="H7" s="159">
        <v>-4.6233333396911623E-2</v>
      </c>
      <c r="I7" s="159">
        <v>1.8266666603088379E-2</v>
      </c>
      <c r="J7" s="159">
        <v>8.6666660308837816E-4</v>
      </c>
      <c r="K7" s="159">
        <v>5.6466666603088383E-2</v>
      </c>
      <c r="L7" s="159">
        <v>-2.5617075437952039E-2</v>
      </c>
      <c r="M7" s="3">
        <v>36677</v>
      </c>
      <c r="O7" s="3">
        <v>36677</v>
      </c>
      <c r="AB7" s="3">
        <v>36677</v>
      </c>
      <c r="AC7" s="159">
        <v>-2.5617075437952039E-2</v>
      </c>
      <c r="AD7" s="159">
        <v>-3.497321111733414E-2</v>
      </c>
      <c r="AE7" s="159">
        <v>9.2896896078408897E-2</v>
      </c>
      <c r="AF7" s="159">
        <v>-2.3733859329520018E-2</v>
      </c>
    </row>
    <row r="8" spans="1:32" ht="15" customHeight="1" x14ac:dyDescent="0.2">
      <c r="A8" s="3">
        <v>36646</v>
      </c>
      <c r="B8" s="159">
        <v>-5.1020833301544194E-2</v>
      </c>
      <c r="C8" s="159">
        <v>3.0979166698455813E-2</v>
      </c>
      <c r="D8" s="159">
        <v>-1.2020833301544191E-2</v>
      </c>
      <c r="E8" s="159">
        <v>9.67916669845581E-3</v>
      </c>
      <c r="F8" s="159">
        <v>4.5791666984558096E-3</v>
      </c>
      <c r="G8" s="159">
        <v>-7.9320833301544186E-2</v>
      </c>
      <c r="H8" s="159">
        <v>-8.2320833301544188E-2</v>
      </c>
      <c r="I8" s="159">
        <v>-5.8220833301544192E-2</v>
      </c>
      <c r="J8" s="159">
        <v>-2.752083330154419E-2</v>
      </c>
      <c r="K8" s="159">
        <v>1.8179166698455811E-2</v>
      </c>
      <c r="L8" s="159">
        <v>-3.497321111733414E-2</v>
      </c>
      <c r="M8" s="3">
        <v>36646</v>
      </c>
      <c r="O8" s="3">
        <v>36646</v>
      </c>
      <c r="AB8" s="3">
        <v>36646</v>
      </c>
      <c r="AC8" s="159">
        <v>-3.497321111733414E-2</v>
      </c>
      <c r="AD8" s="159">
        <v>9.2896896078408897E-2</v>
      </c>
      <c r="AE8" s="159">
        <v>-2.3733859329520018E-2</v>
      </c>
      <c r="AF8" s="159">
        <v>-5.4854881429641567E-2</v>
      </c>
    </row>
    <row r="9" spans="1:32" ht="15" customHeight="1" x14ac:dyDescent="0.2">
      <c r="A9" s="3">
        <v>36616</v>
      </c>
      <c r="B9" s="159">
        <v>-2.5964999945958456E-2</v>
      </c>
      <c r="C9" s="159">
        <v>2.9835000054041542E-2</v>
      </c>
      <c r="D9" s="159">
        <v>1.2350000540415447E-3</v>
      </c>
      <c r="E9" s="159">
        <v>1.7635000054041543E-2</v>
      </c>
      <c r="F9" s="159">
        <v>-6.2649999459584559E-3</v>
      </c>
      <c r="G9" s="159">
        <v>-4.4564999945958458E-2</v>
      </c>
      <c r="H9" s="159">
        <v>2.6235000054041543E-2</v>
      </c>
      <c r="I9" s="159">
        <v>-2.9264999945958457E-2</v>
      </c>
      <c r="J9" s="159">
        <v>-1.7864999945958457E-2</v>
      </c>
      <c r="K9" s="159">
        <v>-6.4164999945958451E-2</v>
      </c>
      <c r="L9" s="159">
        <v>9.2896896078408897E-2</v>
      </c>
      <c r="M9" s="3">
        <v>36616</v>
      </c>
      <c r="O9" s="3">
        <v>36616</v>
      </c>
      <c r="P9" s="159">
        <f t="shared" ref="P9:Z9" si="2">SUM(B9:B11)</f>
        <v>2.8851666641235348E-2</v>
      </c>
      <c r="Q9" s="159">
        <f t="shared" si="2"/>
        <v>8.0351666641235359E-2</v>
      </c>
      <c r="R9" s="159">
        <f t="shared" si="2"/>
        <v>2.0251666641235355E-2</v>
      </c>
      <c r="S9" s="159">
        <f t="shared" si="2"/>
        <v>3.0651666641235354E-2</v>
      </c>
      <c r="T9" s="159">
        <f t="shared" si="2"/>
        <v>-4.2483333587646482E-3</v>
      </c>
      <c r="U9" s="159">
        <f t="shared" si="2"/>
        <v>6.2951666641235346E-2</v>
      </c>
      <c r="V9" s="159">
        <f t="shared" si="2"/>
        <v>6.2351666641235357E-2</v>
      </c>
      <c r="W9" s="159">
        <f t="shared" si="2"/>
        <v>-1.8248333358764648E-2</v>
      </c>
      <c r="X9" s="159">
        <f t="shared" si="2"/>
        <v>-4.784833335876465E-2</v>
      </c>
      <c r="Y9" s="159">
        <f t="shared" si="2"/>
        <v>-0.12234833335876463</v>
      </c>
      <c r="Z9" s="159">
        <f t="shared" si="2"/>
        <v>1.4308155319247312E-2</v>
      </c>
      <c r="AB9" s="3">
        <v>36616</v>
      </c>
      <c r="AC9" s="159">
        <v>9.2896896078408897E-2</v>
      </c>
      <c r="AD9" s="159">
        <v>-2.3733859329520018E-2</v>
      </c>
      <c r="AE9" s="159">
        <v>-5.4854881429641567E-2</v>
      </c>
      <c r="AF9" s="159">
        <v>5.4369492099714631E-2</v>
      </c>
    </row>
    <row r="10" spans="1:32" ht="15" customHeight="1" x14ac:dyDescent="0.2">
      <c r="A10" s="3">
        <v>36585</v>
      </c>
      <c r="B10" s="159">
        <v>6.0262499952316285E-2</v>
      </c>
      <c r="C10" s="159">
        <v>2.9062499952316287E-2</v>
      </c>
      <c r="D10" s="159">
        <v>1.8362499952316286E-2</v>
      </c>
      <c r="E10" s="159">
        <v>3.2624999523162852E-3</v>
      </c>
      <c r="F10" s="159">
        <v>1.0624999523162846E-3</v>
      </c>
      <c r="G10" s="159">
        <v>0.10676249995231628</v>
      </c>
      <c r="H10" s="159">
        <v>5.5762499952316288E-2</v>
      </c>
      <c r="I10" s="159">
        <v>3.9662499952316285E-2</v>
      </c>
      <c r="J10" s="159">
        <v>-2.5637500047683719E-2</v>
      </c>
      <c r="K10" s="159">
        <v>-9.1137500047683714E-2</v>
      </c>
      <c r="L10" s="159">
        <v>-2.3733859329520018E-2</v>
      </c>
      <c r="M10" s="3">
        <v>36585</v>
      </c>
      <c r="O10" s="3">
        <v>36585</v>
      </c>
      <c r="AB10" s="3">
        <v>36585</v>
      </c>
      <c r="AC10" s="159">
        <v>-2.3733859329520018E-2</v>
      </c>
      <c r="AD10" s="159">
        <v>-5.4854881429641567E-2</v>
      </c>
      <c r="AE10" s="159">
        <v>5.4369492099714631E-2</v>
      </c>
      <c r="AF10" s="159">
        <v>1.5940816726210859E-2</v>
      </c>
    </row>
    <row r="11" spans="1:32" ht="15" customHeight="1" x14ac:dyDescent="0.2">
      <c r="A11" s="3">
        <v>36556</v>
      </c>
      <c r="B11" s="159">
        <v>-5.4458333651224771E-3</v>
      </c>
      <c r="C11" s="159">
        <v>2.1454166634877522E-2</v>
      </c>
      <c r="D11" s="159">
        <v>6.5416663487752325E-4</v>
      </c>
      <c r="E11" s="159">
        <v>9.7541666348775237E-3</v>
      </c>
      <c r="F11" s="159">
        <v>9.5416663487752316E-4</v>
      </c>
      <c r="G11" s="159">
        <v>7.5416663487752264E-4</v>
      </c>
      <c r="H11" s="159">
        <v>-1.9645833365122475E-2</v>
      </c>
      <c r="I11" s="159">
        <v>-2.8645833365122476E-2</v>
      </c>
      <c r="J11" s="159">
        <v>-4.3458333651224769E-3</v>
      </c>
      <c r="K11" s="159">
        <v>3.2954166634877526E-2</v>
      </c>
      <c r="L11" s="159">
        <v>-5.4854881429641567E-2</v>
      </c>
      <c r="M11" s="3">
        <v>36556</v>
      </c>
      <c r="O11" s="3">
        <v>36556</v>
      </c>
      <c r="AB11" s="3">
        <v>36556</v>
      </c>
      <c r="AC11" s="159">
        <v>-5.4854881429641567E-2</v>
      </c>
      <c r="AD11" s="159">
        <v>5.4369492099714631E-2</v>
      </c>
      <c r="AE11" s="159">
        <v>1.5940816726210859E-2</v>
      </c>
      <c r="AF11" s="159">
        <v>5.9077353350528022E-2</v>
      </c>
    </row>
    <row r="12" spans="1:32" ht="15" customHeight="1" x14ac:dyDescent="0.2">
      <c r="A12" s="3">
        <v>36525</v>
      </c>
      <c r="B12" s="159">
        <v>8.0940000104904181E-2</v>
      </c>
      <c r="C12" s="159">
        <v>4.6400001049041739E-3</v>
      </c>
      <c r="D12" s="159">
        <v>2.6540000104904177E-2</v>
      </c>
      <c r="E12" s="159">
        <v>5.2400001049041738E-3</v>
      </c>
      <c r="F12" s="159">
        <v>5.3400001049041749E-3</v>
      </c>
      <c r="G12" s="159">
        <v>0.12574000010490416</v>
      </c>
      <c r="H12" s="159">
        <v>0.14904000010490417</v>
      </c>
      <c r="I12" s="159">
        <v>8.8040000104904176E-2</v>
      </c>
      <c r="J12" s="159">
        <v>1.9140000104904173E-2</v>
      </c>
      <c r="K12" s="159">
        <v>-7.0359999895095823E-2</v>
      </c>
      <c r="L12" s="159">
        <v>5.4369492099714631E-2</v>
      </c>
      <c r="M12" s="3">
        <v>36525</v>
      </c>
      <c r="O12" s="3">
        <v>36525</v>
      </c>
      <c r="P12" s="159">
        <f t="shared" ref="P12:Z12" si="3">SUM(B12:B14)</f>
        <v>0.14598250017166137</v>
      </c>
      <c r="Q12" s="159">
        <f t="shared" si="3"/>
        <v>1.6382500171661374E-2</v>
      </c>
      <c r="R12" s="159">
        <f t="shared" si="3"/>
        <v>4.2182500171661384E-2</v>
      </c>
      <c r="S12" s="159">
        <f t="shared" si="3"/>
        <v>2.0782500171661375E-2</v>
      </c>
      <c r="T12" s="159">
        <f t="shared" si="3"/>
        <v>1.3982500171661378E-2</v>
      </c>
      <c r="U12" s="159">
        <f t="shared" si="3"/>
        <v>0.24448250017166134</v>
      </c>
      <c r="V12" s="159">
        <f t="shared" si="3"/>
        <v>0.27028250017166139</v>
      </c>
      <c r="W12" s="159">
        <f t="shared" si="3"/>
        <v>0.14818250017166137</v>
      </c>
      <c r="X12" s="159">
        <f t="shared" si="3"/>
        <v>-4.2517499828338627E-2</v>
      </c>
      <c r="Y12" s="159">
        <f t="shared" si="3"/>
        <v>-0.12491749982833861</v>
      </c>
      <c r="Z12" s="159">
        <f t="shared" si="3"/>
        <v>0.12938766217645351</v>
      </c>
      <c r="AB12" s="3">
        <v>36525</v>
      </c>
      <c r="AC12" s="159">
        <v>5.4369492099714631E-2</v>
      </c>
      <c r="AD12" s="159">
        <v>1.5940816726210859E-2</v>
      </c>
      <c r="AE12" s="159">
        <v>5.9077353350528022E-2</v>
      </c>
      <c r="AF12" s="159">
        <v>-3.1522319528647827E-2</v>
      </c>
    </row>
    <row r="13" spans="1:32" ht="15" customHeight="1" x14ac:dyDescent="0.2">
      <c r="A13" s="3">
        <v>36494</v>
      </c>
      <c r="B13" s="159">
        <v>4.5379166618982947E-2</v>
      </c>
      <c r="C13" s="159">
        <v>8.7791666189829497E-3</v>
      </c>
      <c r="D13" s="159">
        <v>1.6179166618982953E-2</v>
      </c>
      <c r="E13" s="159">
        <v>1.1379166618982951E-2</v>
      </c>
      <c r="F13" s="159">
        <v>3.5791666189829508E-3</v>
      </c>
      <c r="G13" s="159">
        <v>7.8879166618982949E-2</v>
      </c>
      <c r="H13" s="159">
        <v>8.8679166618982952E-2</v>
      </c>
      <c r="I13" s="159">
        <v>3.9779166618982946E-2</v>
      </c>
      <c r="J13" s="159">
        <v>-9.4208333810170478E-3</v>
      </c>
      <c r="K13" s="159">
        <v>-6.9020833381017041E-2</v>
      </c>
      <c r="L13" s="159">
        <v>1.5940816726210859E-2</v>
      </c>
      <c r="M13" s="3">
        <v>36494</v>
      </c>
      <c r="O13" s="3">
        <v>36494</v>
      </c>
      <c r="AB13" s="3">
        <v>36494</v>
      </c>
      <c r="AC13" s="159">
        <v>1.5940816726210859E-2</v>
      </c>
      <c r="AD13" s="159">
        <v>5.9077353350528022E-2</v>
      </c>
      <c r="AE13" s="159">
        <v>-3.1522319528647827E-2</v>
      </c>
      <c r="AF13" s="159">
        <v>-9.0764189882976756E-3</v>
      </c>
    </row>
    <row r="14" spans="1:32" ht="15" customHeight="1" x14ac:dyDescent="0.2">
      <c r="A14" s="3">
        <v>36464</v>
      </c>
      <c r="B14" s="159">
        <v>1.966333344777425E-2</v>
      </c>
      <c r="C14" s="159">
        <v>2.9633334477742511E-3</v>
      </c>
      <c r="D14" s="159">
        <v>-5.3666655222574895E-4</v>
      </c>
      <c r="E14" s="159">
        <v>4.1633334477742517E-3</v>
      </c>
      <c r="F14" s="159">
        <v>5.0633334477742514E-3</v>
      </c>
      <c r="G14" s="159">
        <v>3.9863333447774249E-2</v>
      </c>
      <c r="H14" s="159">
        <v>3.2563333447774248E-2</v>
      </c>
      <c r="I14" s="159">
        <v>2.0363333447774253E-2</v>
      </c>
      <c r="J14" s="159">
        <v>-5.2236666552225752E-2</v>
      </c>
      <c r="K14" s="159">
        <v>1.446333344777425E-2</v>
      </c>
      <c r="L14" s="159">
        <v>5.9077353350528022E-2</v>
      </c>
      <c r="M14" s="3">
        <v>36464</v>
      </c>
      <c r="O14" s="3">
        <v>36464</v>
      </c>
      <c r="AB14" s="3">
        <v>36464</v>
      </c>
      <c r="AC14" s="159">
        <v>5.9077353350528022E-2</v>
      </c>
      <c r="AD14" s="159">
        <v>-3.1522319528647827E-2</v>
      </c>
      <c r="AE14" s="159">
        <v>-9.0764189882976756E-3</v>
      </c>
      <c r="AF14" s="159">
        <v>-3.5224707305451144E-2</v>
      </c>
    </row>
    <row r="15" spans="1:32" ht="15" customHeight="1" x14ac:dyDescent="0.2">
      <c r="A15" s="3">
        <v>36433</v>
      </c>
      <c r="B15" s="159">
        <v>-7.1416666825612381E-3</v>
      </c>
      <c r="C15" s="159">
        <v>9.9583333174387608E-3</v>
      </c>
      <c r="D15" s="159">
        <v>6.4583333174387612E-3</v>
      </c>
      <c r="E15" s="159">
        <v>-1.7416666825612382E-3</v>
      </c>
      <c r="F15" s="159">
        <v>3.458333317438762E-3</v>
      </c>
      <c r="G15" s="159">
        <v>2.0583333174387618E-3</v>
      </c>
      <c r="H15" s="159">
        <v>-1.0441666682561239E-2</v>
      </c>
      <c r="I15" s="159">
        <v>-3.5741666682561242E-2</v>
      </c>
      <c r="J15" s="159">
        <v>1.4158333317438763E-2</v>
      </c>
      <c r="K15" s="159">
        <v>1.345833331743876E-2</v>
      </c>
      <c r="L15" s="159">
        <v>-3.1522319528647827E-2</v>
      </c>
      <c r="M15" s="3">
        <v>36433</v>
      </c>
      <c r="O15" s="3">
        <v>36433</v>
      </c>
      <c r="P15" s="159">
        <f t="shared" ref="P15:Z15" si="4">SUM(B15:B17)</f>
        <v>-2.1337500031789112E-2</v>
      </c>
      <c r="Q15" s="159">
        <f t="shared" si="4"/>
        <v>1.5362499968210855E-2</v>
      </c>
      <c r="R15" s="159">
        <f t="shared" si="4"/>
        <v>1.2962499968210856E-2</v>
      </c>
      <c r="S15" s="159">
        <f t="shared" si="4"/>
        <v>1.8162499968210857E-2</v>
      </c>
      <c r="T15" s="159">
        <f t="shared" si="4"/>
        <v>-3.5375000317891449E-3</v>
      </c>
      <c r="U15" s="159">
        <f t="shared" si="4"/>
        <v>6.9624999682108566E-3</v>
      </c>
      <c r="V15" s="159">
        <f t="shared" si="4"/>
        <v>-6.0337500031789143E-2</v>
      </c>
      <c r="W15" s="159">
        <f t="shared" si="4"/>
        <v>-9.1137500031789151E-2</v>
      </c>
      <c r="X15" s="159">
        <f t="shared" si="4"/>
        <v>-4.0375000317891419E-3</v>
      </c>
      <c r="Y15" s="159">
        <f t="shared" si="4"/>
        <v>4.8662499968210857E-2</v>
      </c>
      <c r="Z15" s="159">
        <f t="shared" si="4"/>
        <v>-7.582344582239664E-2</v>
      </c>
      <c r="AB15" s="3">
        <v>36433</v>
      </c>
      <c r="AC15" s="159">
        <v>-3.1522319528647827E-2</v>
      </c>
      <c r="AD15" s="159">
        <v>-9.0764189882976756E-3</v>
      </c>
      <c r="AE15" s="159">
        <v>-3.5224707305451144E-2</v>
      </c>
      <c r="AF15" s="159">
        <v>5.1505680660176897E-2</v>
      </c>
    </row>
    <row r="16" spans="1:32" ht="15" customHeight="1" x14ac:dyDescent="0.2">
      <c r="A16" s="3">
        <v>36403</v>
      </c>
      <c r="B16" s="159">
        <v>-1.29625000953674E-2</v>
      </c>
      <c r="C16" s="159">
        <v>-1.6625000953674317E-3</v>
      </c>
      <c r="D16" s="159">
        <v>-2.8625000953674314E-3</v>
      </c>
      <c r="E16" s="159">
        <v>7.1374999046325688E-3</v>
      </c>
      <c r="F16" s="159">
        <v>-8.0625000953674329E-3</v>
      </c>
      <c r="G16" s="159">
        <v>-6.6625000953674319E-3</v>
      </c>
      <c r="H16" s="159">
        <v>-3.0562500095367429E-2</v>
      </c>
      <c r="I16" s="159">
        <v>-3.2462500095367434E-2</v>
      </c>
      <c r="J16" s="159">
        <v>-7.1625000953674314E-3</v>
      </c>
      <c r="K16" s="159">
        <v>3.9237499904632572E-2</v>
      </c>
      <c r="L16" s="159">
        <v>-9.0764189882976756E-3</v>
      </c>
      <c r="M16" s="3">
        <v>36403</v>
      </c>
      <c r="O16" s="3">
        <v>36403</v>
      </c>
      <c r="AB16" s="3">
        <v>36403</v>
      </c>
      <c r="AC16" s="159">
        <v>-9.0764189882976756E-3</v>
      </c>
      <c r="AD16" s="159">
        <v>-3.5224707305451144E-2</v>
      </c>
      <c r="AE16" s="159">
        <v>5.1505680660176897E-2</v>
      </c>
      <c r="AF16" s="159">
        <v>-2.7536588940829353E-2</v>
      </c>
    </row>
    <row r="17" spans="1:32" ht="15" customHeight="1" x14ac:dyDescent="0.2">
      <c r="A17" s="3">
        <v>36372</v>
      </c>
      <c r="B17" s="159">
        <v>-1.233333253860474E-3</v>
      </c>
      <c r="C17" s="159">
        <v>7.0666667461395261E-3</v>
      </c>
      <c r="D17" s="159">
        <v>9.3666667461395261E-3</v>
      </c>
      <c r="E17" s="159">
        <v>1.2766666746139526E-2</v>
      </c>
      <c r="F17" s="159">
        <v>1.066666746139526E-3</v>
      </c>
      <c r="G17" s="159">
        <v>1.1566666746139527E-2</v>
      </c>
      <c r="H17" s="159">
        <v>-1.9333333253860475E-2</v>
      </c>
      <c r="I17" s="159">
        <v>-2.2933333253860474E-2</v>
      </c>
      <c r="J17" s="159">
        <v>-1.1033333253860474E-2</v>
      </c>
      <c r="K17" s="159">
        <v>-4.0333332538604735E-3</v>
      </c>
      <c r="L17" s="159">
        <v>-3.5224707305451144E-2</v>
      </c>
      <c r="M17" s="3">
        <v>36372</v>
      </c>
      <c r="O17" s="3">
        <v>36372</v>
      </c>
      <c r="AB17" s="3">
        <v>36372</v>
      </c>
      <c r="AC17" s="159">
        <v>-3.5224707305451144E-2</v>
      </c>
      <c r="AD17" s="159">
        <v>5.1505680660176897E-2</v>
      </c>
      <c r="AE17" s="159">
        <v>-2.7536588940829353E-2</v>
      </c>
      <c r="AF17" s="159">
        <v>3.4990493497223323E-2</v>
      </c>
    </row>
    <row r="18" spans="1:32" ht="15" customHeight="1" x14ac:dyDescent="0.2">
      <c r="A18" s="3">
        <v>36341</v>
      </c>
      <c r="B18" s="159">
        <v>2.8974999872843427E-2</v>
      </c>
      <c r="C18" s="159">
        <v>4.2749998728434241E-3</v>
      </c>
      <c r="D18" s="159">
        <v>2.5474999872843424E-2</v>
      </c>
      <c r="E18" s="159">
        <v>1.5374999872843423E-2</v>
      </c>
      <c r="F18" s="159">
        <v>3.6749998728434242E-3</v>
      </c>
      <c r="G18" s="159">
        <v>4.2674999872843428E-2</v>
      </c>
      <c r="H18" s="159">
        <v>4.517499987284343E-2</v>
      </c>
      <c r="I18" s="159">
        <v>2.6374999872843426E-2</v>
      </c>
      <c r="J18" s="159">
        <v>2.3774999872843424E-2</v>
      </c>
      <c r="K18" s="159">
        <v>-2.7425000127156575E-2</v>
      </c>
      <c r="L18" s="159">
        <v>5.1505680660176897E-2</v>
      </c>
      <c r="M18" s="3">
        <v>36341</v>
      </c>
      <c r="O18" s="3">
        <v>36341</v>
      </c>
      <c r="P18" s="159">
        <f t="shared" ref="P18:Z18" si="5">SUM(B18:B20)</f>
        <v>4.9250416342417405E-2</v>
      </c>
      <c r="Q18" s="159">
        <f t="shared" si="5"/>
        <v>3.7250416342417395E-2</v>
      </c>
      <c r="R18" s="159">
        <f t="shared" si="5"/>
        <v>7.0550416342417405E-2</v>
      </c>
      <c r="S18" s="159">
        <f t="shared" si="5"/>
        <v>4.2650416342417397E-2</v>
      </c>
      <c r="T18" s="159">
        <f t="shared" si="5"/>
        <v>2.1450416342417396E-2</v>
      </c>
      <c r="U18" s="159">
        <f t="shared" si="5"/>
        <v>6.0050416342417395E-2</v>
      </c>
      <c r="V18" s="159">
        <f t="shared" si="5"/>
        <v>9.0450416342417406E-2</v>
      </c>
      <c r="W18" s="159">
        <f t="shared" si="5"/>
        <v>3.6450416342417399E-2</v>
      </c>
      <c r="X18" s="159">
        <f t="shared" si="5"/>
        <v>1.3850416342417397E-2</v>
      </c>
      <c r="Y18" s="159">
        <f t="shared" si="5"/>
        <v>-6.7949583657582593E-2</v>
      </c>
      <c r="Z18" s="159">
        <f t="shared" si="5"/>
        <v>5.8959585216570867E-2</v>
      </c>
      <c r="AB18" s="3">
        <v>36341</v>
      </c>
      <c r="AC18" s="159">
        <v>5.1505680660176897E-2</v>
      </c>
      <c r="AD18" s="159">
        <v>-2.7536588940829353E-2</v>
      </c>
      <c r="AE18" s="159">
        <v>3.4990493497223323E-2</v>
      </c>
      <c r="AF18" s="159">
        <v>3.61064112527048E-2</v>
      </c>
    </row>
    <row r="19" spans="1:32" ht="15" customHeight="1" x14ac:dyDescent="0.2">
      <c r="A19" s="3">
        <v>36311</v>
      </c>
      <c r="B19" s="159">
        <v>-2.4562501430511474E-3</v>
      </c>
      <c r="C19" s="159">
        <v>1.5143749856948854E-2</v>
      </c>
      <c r="D19" s="159">
        <v>1.7943749856948854E-2</v>
      </c>
      <c r="E19" s="159">
        <v>1.0643749856948853E-2</v>
      </c>
      <c r="F19" s="159">
        <v>5.0437498569488532E-3</v>
      </c>
      <c r="G19" s="159">
        <v>-1.1956250143051149E-2</v>
      </c>
      <c r="H19" s="159">
        <v>-1.6056250143051148E-2</v>
      </c>
      <c r="I19" s="159">
        <v>-4.2562501430511469E-3</v>
      </c>
      <c r="J19" s="159">
        <v>-3.305625014305115E-2</v>
      </c>
      <c r="K19" s="159">
        <v>5.4374985694885265E-4</v>
      </c>
      <c r="L19" s="159">
        <v>-2.7536588940829353E-2</v>
      </c>
      <c r="M19" s="3">
        <v>36311</v>
      </c>
      <c r="O19" s="3">
        <v>36311</v>
      </c>
      <c r="AB19" s="3">
        <v>36311</v>
      </c>
      <c r="AC19" s="159">
        <v>-2.7536588940829353E-2</v>
      </c>
      <c r="AD19" s="159">
        <v>3.4990493497223323E-2</v>
      </c>
      <c r="AE19" s="159">
        <v>3.61064112527048E-2</v>
      </c>
      <c r="AF19" s="159">
        <v>-3.4951654602675561E-2</v>
      </c>
    </row>
    <row r="20" spans="1:32" ht="15" customHeight="1" x14ac:dyDescent="0.2">
      <c r="A20" s="3">
        <v>36280</v>
      </c>
      <c r="B20" s="159">
        <v>2.2731666612625122E-2</v>
      </c>
      <c r="C20" s="159">
        <v>1.783166661262512E-2</v>
      </c>
      <c r="D20" s="159">
        <v>2.7131666612625123E-2</v>
      </c>
      <c r="E20" s="159">
        <v>1.6631666612625121E-2</v>
      </c>
      <c r="F20" s="159">
        <v>1.273166661262512E-2</v>
      </c>
      <c r="G20" s="159">
        <v>2.933166661262512E-2</v>
      </c>
      <c r="H20" s="159">
        <v>6.1331666612625124E-2</v>
      </c>
      <c r="I20" s="159">
        <v>1.4331666612625121E-2</v>
      </c>
      <c r="J20" s="159">
        <v>2.3131666612625123E-2</v>
      </c>
      <c r="K20" s="159">
        <v>-4.1068333387374874E-2</v>
      </c>
      <c r="L20" s="159">
        <v>3.4990493497223323E-2</v>
      </c>
      <c r="M20" s="3">
        <v>36280</v>
      </c>
      <c r="O20" s="3">
        <v>36280</v>
      </c>
      <c r="AB20" s="3">
        <v>36280</v>
      </c>
      <c r="AC20" s="159">
        <v>3.4990493497223323E-2</v>
      </c>
      <c r="AD20" s="159">
        <v>3.61064112527048E-2</v>
      </c>
      <c r="AE20" s="159">
        <v>-3.4951654602675561E-2</v>
      </c>
      <c r="AF20" s="159">
        <v>3.8002684154548237E-2</v>
      </c>
    </row>
    <row r="21" spans="1:32" ht="15" customHeight="1" x14ac:dyDescent="0.2">
      <c r="A21" s="3">
        <v>36250</v>
      </c>
      <c r="B21" s="159">
        <v>8.4645832697550459E-3</v>
      </c>
      <c r="C21" s="159">
        <v>6.6645832697550447E-3</v>
      </c>
      <c r="D21" s="159">
        <v>2.0164583269755048E-2</v>
      </c>
      <c r="E21" s="159">
        <v>9.764583269755045E-3</v>
      </c>
      <c r="F21" s="159">
        <v>9.6645832697550456E-3</v>
      </c>
      <c r="G21" s="159">
        <v>3.3864583269755048E-2</v>
      </c>
      <c r="H21" s="159">
        <v>7.0564583269755052E-2</v>
      </c>
      <c r="I21" s="159">
        <v>-2.3735416730244954E-2</v>
      </c>
      <c r="J21" s="159">
        <v>-1.4435416730244954E-2</v>
      </c>
      <c r="K21" s="159">
        <v>-2.1435416730244954E-2</v>
      </c>
      <c r="L21" s="159">
        <v>3.61064112527048E-2</v>
      </c>
      <c r="M21" s="3">
        <v>36250</v>
      </c>
      <c r="O21" s="3">
        <v>36250</v>
      </c>
      <c r="P21" s="159">
        <f t="shared" ref="P21:Z21" si="6">SUM(B21:B23)</f>
        <v>-3.9883335272471107E-3</v>
      </c>
      <c r="Q21" s="159">
        <f t="shared" si="6"/>
        <v>3.4211666472752894E-2</v>
      </c>
      <c r="R21" s="159">
        <f t="shared" si="6"/>
        <v>3.1111666472752892E-2</v>
      </c>
      <c r="S21" s="159">
        <f t="shared" si="6"/>
        <v>1.541166647275289E-2</v>
      </c>
      <c r="T21" s="159">
        <f t="shared" si="6"/>
        <v>3.6511666472752891E-2</v>
      </c>
      <c r="U21" s="159">
        <f t="shared" si="6"/>
        <v>4.4811666472752892E-2</v>
      </c>
      <c r="V21" s="159">
        <f t="shared" si="6"/>
        <v>4.571166647275289E-2</v>
      </c>
      <c r="W21" s="159">
        <f t="shared" si="6"/>
        <v>-7.5888333527247109E-2</v>
      </c>
      <c r="X21" s="159">
        <f t="shared" si="6"/>
        <v>-5.8588333527247106E-2</v>
      </c>
      <c r="Y21" s="159">
        <f t="shared" si="6"/>
        <v>-4.4688333527247111E-2</v>
      </c>
      <c r="Z21" s="159">
        <f t="shared" si="6"/>
        <v>3.9157440804577476E-2</v>
      </c>
      <c r="AB21" s="3">
        <v>36250</v>
      </c>
      <c r="AC21" s="159">
        <v>3.61064112527048E-2</v>
      </c>
      <c r="AD21" s="159">
        <v>-3.4951654602675561E-2</v>
      </c>
      <c r="AE21" s="159">
        <v>3.8002684154548237E-2</v>
      </c>
      <c r="AF21" s="159">
        <v>5.3793915023640879E-2</v>
      </c>
    </row>
    <row r="22" spans="1:32" ht="15" customHeight="1" x14ac:dyDescent="0.2">
      <c r="A22" s="3">
        <v>36219</v>
      </c>
      <c r="B22" s="159">
        <v>-1.6806250190734864E-2</v>
      </c>
      <c r="C22" s="159">
        <v>8.4937498092651376E-3</v>
      </c>
      <c r="D22" s="159">
        <v>-4.2062501907348636E-3</v>
      </c>
      <c r="E22" s="159">
        <v>2.3937498092651372E-3</v>
      </c>
      <c r="F22" s="159">
        <v>1.1493749809265137E-2</v>
      </c>
      <c r="G22" s="159">
        <v>-3.5106250190734864E-2</v>
      </c>
      <c r="H22" s="159">
        <v>7.9937498092651372E-3</v>
      </c>
      <c r="I22" s="159">
        <v>-1.9706250190734863E-2</v>
      </c>
      <c r="J22" s="159">
        <v>-9.1062501907348634E-3</v>
      </c>
      <c r="K22" s="159">
        <v>5.2193749809265139E-2</v>
      </c>
      <c r="L22" s="159">
        <v>-3.4951654602675561E-2</v>
      </c>
      <c r="M22" s="3">
        <v>36219</v>
      </c>
      <c r="O22" s="3">
        <v>36219</v>
      </c>
      <c r="AB22" s="3">
        <v>36219</v>
      </c>
      <c r="AC22" s="159">
        <v>-3.4951654602675561E-2</v>
      </c>
      <c r="AD22" s="159">
        <v>3.8002684154548237E-2</v>
      </c>
      <c r="AE22" s="159">
        <v>5.3793915023640879E-2</v>
      </c>
      <c r="AF22" s="159">
        <v>5.6743309153348853E-2</v>
      </c>
    </row>
    <row r="23" spans="1:32" ht="15" customHeight="1" x14ac:dyDescent="0.2">
      <c r="A23" s="3">
        <v>36191</v>
      </c>
      <c r="B23" s="159">
        <v>4.3533333937327071E-3</v>
      </c>
      <c r="C23" s="159">
        <v>1.9053333393732708E-2</v>
      </c>
      <c r="D23" s="159">
        <v>1.5153333393732708E-2</v>
      </c>
      <c r="E23" s="159">
        <v>3.2533333937327068E-3</v>
      </c>
      <c r="F23" s="159">
        <v>1.5353333393732706E-2</v>
      </c>
      <c r="G23" s="159">
        <v>4.6053333393732708E-2</v>
      </c>
      <c r="H23" s="159">
        <v>-3.2846666606267297E-2</v>
      </c>
      <c r="I23" s="159">
        <v>-3.2446666606267292E-2</v>
      </c>
      <c r="J23" s="159">
        <v>-3.504666660626729E-2</v>
      </c>
      <c r="K23" s="159">
        <v>-7.5446666606267296E-2</v>
      </c>
      <c r="L23" s="159">
        <v>3.8002684154548237E-2</v>
      </c>
      <c r="M23" s="3">
        <v>36191</v>
      </c>
      <c r="O23" s="3">
        <v>36191</v>
      </c>
      <c r="AB23" s="3">
        <v>36191</v>
      </c>
      <c r="AC23" s="159">
        <v>3.8002684154548237E-2</v>
      </c>
      <c r="AD23" s="159">
        <v>5.3793915023640879E-2</v>
      </c>
      <c r="AE23" s="159">
        <v>5.6743309153348853E-2</v>
      </c>
      <c r="AF23" s="159">
        <v>7.7771989111699955E-2</v>
      </c>
    </row>
    <row r="24" spans="1:32" ht="15" customHeight="1" x14ac:dyDescent="0.2">
      <c r="A24" s="3">
        <v>36160</v>
      </c>
      <c r="B24" s="159">
        <v>2.6635416634877524E-2</v>
      </c>
      <c r="C24" s="159">
        <v>-1.6458336512247722E-4</v>
      </c>
      <c r="D24" s="159">
        <v>1.3335416634877525E-2</v>
      </c>
      <c r="E24" s="159">
        <v>8.7354166348775214E-3</v>
      </c>
      <c r="F24" s="159">
        <v>1.3635416634877523E-2</v>
      </c>
      <c r="G24" s="159">
        <v>6.1935416634877526E-2</v>
      </c>
      <c r="H24" s="159">
        <v>-4.2064583365122477E-2</v>
      </c>
      <c r="I24" s="159">
        <v>1.9735416634877524E-2</v>
      </c>
      <c r="J24" s="159">
        <v>2.4335416634877524E-2</v>
      </c>
      <c r="K24" s="159">
        <v>-6.1164583365122482E-2</v>
      </c>
      <c r="L24" s="159">
        <v>5.3793915023640879E-2</v>
      </c>
      <c r="M24" s="3">
        <v>36160</v>
      </c>
      <c r="O24" s="3">
        <v>36160</v>
      </c>
      <c r="P24" s="159">
        <f t="shared" ref="P24:Z24" si="7">SUM(B24:B26)</f>
        <v>-1.2565833457310986E-2</v>
      </c>
      <c r="Q24" s="159">
        <f t="shared" si="7"/>
        <v>-3.3465833457310995E-2</v>
      </c>
      <c r="R24" s="159">
        <f t="shared" si="7"/>
        <v>4.0534166542689001E-2</v>
      </c>
      <c r="S24" s="159">
        <f t="shared" si="7"/>
        <v>4.7434166542689005E-2</v>
      </c>
      <c r="T24" s="159">
        <f t="shared" si="7"/>
        <v>-4.7565833457310989E-2</v>
      </c>
      <c r="U24" s="159">
        <f t="shared" si="7"/>
        <v>0.10963416654268901</v>
      </c>
      <c r="V24" s="159">
        <f t="shared" si="7"/>
        <v>1.4434166542689005E-2</v>
      </c>
      <c r="W24" s="159">
        <f t="shared" si="7"/>
        <v>-0.113665833457311</v>
      </c>
      <c r="X24" s="159">
        <f t="shared" si="7"/>
        <v>1.133416654268901E-2</v>
      </c>
      <c r="Y24" s="159">
        <f t="shared" si="7"/>
        <v>-0.22636583345731101</v>
      </c>
      <c r="Z24" s="159">
        <f t="shared" si="7"/>
        <v>0.18830921328868969</v>
      </c>
      <c r="AB24" s="3">
        <v>36160</v>
      </c>
      <c r="AC24" s="159">
        <v>5.3793915023640879E-2</v>
      </c>
      <c r="AD24" s="159">
        <v>5.6743309153348853E-2</v>
      </c>
      <c r="AE24" s="159">
        <v>7.7771989111699955E-2</v>
      </c>
      <c r="AF24" s="159">
        <v>5.9941644113546494E-2</v>
      </c>
    </row>
    <row r="25" spans="1:32" ht="15" customHeight="1" x14ac:dyDescent="0.2">
      <c r="A25" s="3">
        <v>36129</v>
      </c>
      <c r="B25" s="159">
        <v>9.9020833333333322E-3</v>
      </c>
      <c r="C25" s="159">
        <v>1.6902083333333335E-2</v>
      </c>
      <c r="D25" s="159">
        <v>2.4002083333333334E-2</v>
      </c>
      <c r="E25" s="159">
        <v>1.7302083333333336E-2</v>
      </c>
      <c r="F25" s="159">
        <v>1.1802083333333333E-2</v>
      </c>
      <c r="G25" s="159">
        <v>3.3702083333333334E-2</v>
      </c>
      <c r="H25" s="159">
        <v>4.3102083333333333E-2</v>
      </c>
      <c r="I25" s="159">
        <v>-1.4497916666666668E-2</v>
      </c>
      <c r="J25" s="159">
        <v>-2.1697916666666664E-2</v>
      </c>
      <c r="K25" s="159">
        <v>-7.4897916666666661E-2</v>
      </c>
      <c r="L25" s="159">
        <v>5.6743309153348853E-2</v>
      </c>
      <c r="M25" s="3">
        <v>36129</v>
      </c>
      <c r="O25" s="3">
        <v>36129</v>
      </c>
      <c r="AB25" s="3">
        <v>36129</v>
      </c>
      <c r="AC25" s="159">
        <v>5.6743309153348853E-2</v>
      </c>
      <c r="AD25" s="159">
        <v>7.7771989111699955E-2</v>
      </c>
      <c r="AE25" s="159">
        <v>5.9941644113546494E-2</v>
      </c>
      <c r="AF25" s="159">
        <v>-0.14885843218420058</v>
      </c>
    </row>
    <row r="26" spans="1:32" ht="15" customHeight="1" x14ac:dyDescent="0.2">
      <c r="A26" s="3">
        <v>36099</v>
      </c>
      <c r="B26" s="159">
        <v>-4.9103333425521846E-2</v>
      </c>
      <c r="C26" s="159">
        <v>-5.020333342552185E-2</v>
      </c>
      <c r="D26" s="159">
        <v>3.1966665744781494E-3</v>
      </c>
      <c r="E26" s="159">
        <v>2.1396666574478147E-2</v>
      </c>
      <c r="F26" s="159">
        <v>-7.3003333425521844E-2</v>
      </c>
      <c r="G26" s="159">
        <v>1.3996666574478149E-2</v>
      </c>
      <c r="H26" s="159">
        <v>1.3396666574478149E-2</v>
      </c>
      <c r="I26" s="159">
        <v>-0.11890333342552185</v>
      </c>
      <c r="J26" s="159">
        <v>8.6966665744781495E-3</v>
      </c>
      <c r="K26" s="159">
        <v>-9.0303333425521853E-2</v>
      </c>
      <c r="L26" s="159">
        <v>7.7771989111699955E-2</v>
      </c>
      <c r="M26" s="3">
        <v>36099</v>
      </c>
      <c r="O26" s="3">
        <v>36099</v>
      </c>
      <c r="AB26" s="3">
        <v>36099</v>
      </c>
      <c r="AC26" s="159">
        <v>7.7771989111699955E-2</v>
      </c>
      <c r="AD26" s="159">
        <v>5.9941644113546494E-2</v>
      </c>
      <c r="AE26" s="159">
        <v>-0.14885843218420058</v>
      </c>
      <c r="AF26" s="159">
        <v>-1.4950053948721946E-2</v>
      </c>
    </row>
    <row r="27" spans="1:32" ht="15" customHeight="1" x14ac:dyDescent="0.2">
      <c r="A27" s="3">
        <v>36068</v>
      </c>
      <c r="B27" s="159">
        <v>-2.7052083190282183E-2</v>
      </c>
      <c r="C27" s="159">
        <v>-3.625208319028219E-2</v>
      </c>
      <c r="D27" s="159">
        <v>-3.3552083190282189E-2</v>
      </c>
      <c r="E27" s="159">
        <v>5.5479168097178136E-3</v>
      </c>
      <c r="F27" s="159">
        <v>-4.1352083190282191E-2</v>
      </c>
      <c r="G27" s="159">
        <v>3.0747916809717814E-2</v>
      </c>
      <c r="H27" s="159">
        <v>-7.7952083190282184E-2</v>
      </c>
      <c r="I27" s="159">
        <v>-5.515208319028219E-2</v>
      </c>
      <c r="J27" s="159">
        <v>6.4747916809717809E-2</v>
      </c>
      <c r="K27" s="159">
        <v>-5.3752083190282185E-2</v>
      </c>
      <c r="L27" s="159">
        <v>5.9941644113546494E-2</v>
      </c>
      <c r="M27" s="3">
        <v>36068</v>
      </c>
      <c r="O27" s="3">
        <v>36068</v>
      </c>
      <c r="P27" s="159">
        <f t="shared" ref="P27:Z27" si="8">SUM(B27:B29)</f>
        <v>-0.10180166643460592</v>
      </c>
      <c r="Q27" s="159">
        <f t="shared" si="8"/>
        <v>-8.5701666434605916E-2</v>
      </c>
      <c r="R27" s="159">
        <f t="shared" si="8"/>
        <v>-0.15910166643460594</v>
      </c>
      <c r="S27" s="159">
        <f t="shared" si="8"/>
        <v>-1.2201666434605917E-2</v>
      </c>
      <c r="T27" s="159">
        <f t="shared" si="8"/>
        <v>-5.9401666434605919E-2</v>
      </c>
      <c r="U27" s="159">
        <f t="shared" si="8"/>
        <v>-8.5701666434605916E-2</v>
      </c>
      <c r="V27" s="159">
        <f t="shared" si="8"/>
        <v>-0.31570166643460595</v>
      </c>
      <c r="W27" s="159">
        <f t="shared" si="8"/>
        <v>-9.3801666434605913E-2</v>
      </c>
      <c r="X27" s="159">
        <f t="shared" si="8"/>
        <v>0.14479833356539407</v>
      </c>
      <c r="Y27" s="159">
        <f t="shared" si="8"/>
        <v>0.19229833356539408</v>
      </c>
      <c r="Z27" s="159">
        <f t="shared" si="8"/>
        <v>-0.10386684201937604</v>
      </c>
      <c r="AB27" s="3">
        <v>36068</v>
      </c>
      <c r="AC27" s="159">
        <v>5.9941644113546494E-2</v>
      </c>
      <c r="AD27" s="159">
        <v>-0.14885843218420058</v>
      </c>
      <c r="AE27" s="159">
        <v>-1.4950053948721946E-2</v>
      </c>
      <c r="AF27" s="159">
        <v>3.6295980759660652E-2</v>
      </c>
    </row>
    <row r="28" spans="1:32" ht="15" customHeight="1" x14ac:dyDescent="0.2">
      <c r="A28" s="3">
        <v>36038</v>
      </c>
      <c r="B28" s="159">
        <v>-7.9614583333333336E-2</v>
      </c>
      <c r="C28" s="159">
        <v>-5.0514583333333328E-2</v>
      </c>
      <c r="D28" s="159">
        <v>-0.12181458333333334</v>
      </c>
      <c r="E28" s="159">
        <v>-1.2614583333333334E-2</v>
      </c>
      <c r="F28" s="159">
        <v>-1.8714583333333333E-2</v>
      </c>
      <c r="G28" s="159">
        <v>-0.11841458333333334</v>
      </c>
      <c r="H28" s="159">
        <v>-0.23441458333333334</v>
      </c>
      <c r="I28" s="159">
        <v>-5.251458333333333E-2</v>
      </c>
      <c r="J28" s="159">
        <v>9.5385416666666667E-2</v>
      </c>
      <c r="K28" s="159">
        <v>0.22298541666666666</v>
      </c>
      <c r="L28" s="159">
        <v>-0.14885843218420058</v>
      </c>
      <c r="M28" s="3">
        <v>36038</v>
      </c>
      <c r="O28" s="3">
        <v>36038</v>
      </c>
      <c r="AB28" s="3">
        <v>36038</v>
      </c>
      <c r="AC28" s="159">
        <v>-0.14885843218420058</v>
      </c>
      <c r="AD28" s="159">
        <v>-1.4950053948721946E-2</v>
      </c>
      <c r="AE28" s="159">
        <v>3.6295980759660652E-2</v>
      </c>
      <c r="AF28" s="159">
        <v>-2.1527921539024407E-2</v>
      </c>
    </row>
    <row r="29" spans="1:32" ht="15" customHeight="1" x14ac:dyDescent="0.2">
      <c r="A29" s="3">
        <v>36007</v>
      </c>
      <c r="B29" s="159">
        <v>4.8650000890096022E-3</v>
      </c>
      <c r="C29" s="159">
        <v>1.0650000890096026E-3</v>
      </c>
      <c r="D29" s="159">
        <v>-3.734999910990397E-3</v>
      </c>
      <c r="E29" s="159">
        <v>-5.1349999109903972E-3</v>
      </c>
      <c r="F29" s="159">
        <v>6.6500008900960243E-4</v>
      </c>
      <c r="G29" s="159">
        <v>1.9650000890096032E-3</v>
      </c>
      <c r="H29" s="159">
        <v>-3.3349999109903972E-3</v>
      </c>
      <c r="I29" s="159">
        <v>1.3865000089009601E-2</v>
      </c>
      <c r="J29" s="159">
        <v>-1.5334999910990396E-2</v>
      </c>
      <c r="K29" s="159">
        <v>2.30650000890096E-2</v>
      </c>
      <c r="L29" s="159">
        <v>-1.4950053948721946E-2</v>
      </c>
      <c r="M29" s="3">
        <v>36007</v>
      </c>
      <c r="O29" s="3">
        <v>36007</v>
      </c>
      <c r="AB29" s="3">
        <v>36007</v>
      </c>
      <c r="AC29" s="159">
        <v>-1.4950053948721946E-2</v>
      </c>
      <c r="AD29" s="159">
        <v>3.6295980759660652E-2</v>
      </c>
      <c r="AE29" s="159">
        <v>-2.1527921539024407E-2</v>
      </c>
      <c r="AF29" s="159">
        <v>5.7191643469859683E-3</v>
      </c>
    </row>
    <row r="30" spans="1:32" ht="15" customHeight="1" x14ac:dyDescent="0.2">
      <c r="A30" s="3">
        <v>35976</v>
      </c>
      <c r="B30" s="159">
        <v>1.1743749841054281E-2</v>
      </c>
      <c r="C30" s="159">
        <v>-7.8562501589457198E-3</v>
      </c>
      <c r="D30" s="159">
        <v>-1.205625015894572E-2</v>
      </c>
      <c r="E30" s="159">
        <v>5.4374984105428053E-4</v>
      </c>
      <c r="F30" s="159">
        <v>-1.495625015894572E-2</v>
      </c>
      <c r="G30" s="159">
        <v>2.9843749841054285E-2</v>
      </c>
      <c r="H30" s="159">
        <v>-5.0956250158945719E-2</v>
      </c>
      <c r="I30" s="159">
        <v>2.8643749841054285E-2</v>
      </c>
      <c r="J30" s="159">
        <v>4.9437498410542808E-3</v>
      </c>
      <c r="K30" s="159">
        <v>-2.7556250158945722E-2</v>
      </c>
      <c r="L30" s="159">
        <v>3.6295980759660652E-2</v>
      </c>
      <c r="M30" s="3">
        <v>35976</v>
      </c>
      <c r="O30" s="3">
        <v>35976</v>
      </c>
      <c r="P30" s="159">
        <f t="shared" ref="P30:Z30" si="9">SUM(B30:B32)</f>
        <v>1.5495416005452475E-2</v>
      </c>
      <c r="Q30" s="159">
        <f t="shared" si="9"/>
        <v>2.9954160054524726E-3</v>
      </c>
      <c r="R30" s="159">
        <f t="shared" si="9"/>
        <v>-2.5104583994547527E-2</v>
      </c>
      <c r="S30" s="159">
        <f t="shared" si="9"/>
        <v>8.1954160054524758E-3</v>
      </c>
      <c r="T30" s="159">
        <f t="shared" si="9"/>
        <v>-2.5504583994547528E-2</v>
      </c>
      <c r="U30" s="159">
        <f t="shared" si="9"/>
        <v>1.5995416005452481E-2</v>
      </c>
      <c r="V30" s="159">
        <f t="shared" si="9"/>
        <v>-0.15890458399454752</v>
      </c>
      <c r="W30" s="159">
        <f t="shared" si="9"/>
        <v>6.9695416005452482E-2</v>
      </c>
      <c r="X30" s="159">
        <f t="shared" si="9"/>
        <v>-1.1204583994547525E-2</v>
      </c>
      <c r="Y30" s="159">
        <f t="shared" si="9"/>
        <v>8.1595416005452476E-2</v>
      </c>
      <c r="Z30" s="159">
        <f t="shared" si="9"/>
        <v>2.0487223567622212E-2</v>
      </c>
      <c r="AB30" s="3">
        <v>35976</v>
      </c>
      <c r="AC30" s="159">
        <v>3.6295980759660652E-2</v>
      </c>
      <c r="AD30" s="159">
        <v>-2.1527921539024407E-2</v>
      </c>
      <c r="AE30" s="159">
        <v>5.7191643469859683E-3</v>
      </c>
      <c r="AF30" s="159">
        <v>4.6851895900156475E-2</v>
      </c>
    </row>
    <row r="31" spans="1:32" ht="15" customHeight="1" x14ac:dyDescent="0.2">
      <c r="A31" s="3">
        <v>35946</v>
      </c>
      <c r="B31" s="159">
        <v>-1.5733336448669434E-3</v>
      </c>
      <c r="C31" s="159">
        <v>2.3266663551330564E-3</v>
      </c>
      <c r="D31" s="159">
        <v>-1.6173333644866943E-2</v>
      </c>
      <c r="E31" s="159">
        <v>8.9266663551330581E-3</v>
      </c>
      <c r="F31" s="159">
        <v>-6.2733336448669436E-3</v>
      </c>
      <c r="G31" s="159">
        <v>-2.1073333644866941E-2</v>
      </c>
      <c r="H31" s="159">
        <v>-0.10197333364486694</v>
      </c>
      <c r="I31" s="159">
        <v>2.9526666355133058E-2</v>
      </c>
      <c r="J31" s="159">
        <v>2.8326666355133059E-2</v>
      </c>
      <c r="K31" s="159">
        <v>0.10472666635513306</v>
      </c>
      <c r="L31" s="159">
        <v>-2.1527921539024407E-2</v>
      </c>
      <c r="M31" s="3">
        <v>35946</v>
      </c>
      <c r="O31" s="3">
        <v>35946</v>
      </c>
      <c r="AB31" s="3">
        <v>35946</v>
      </c>
      <c r="AC31" s="159">
        <v>-2.1527921539024407E-2</v>
      </c>
      <c r="AD31" s="159">
        <v>5.7191643469859683E-3</v>
      </c>
      <c r="AE31" s="159">
        <v>4.6851895900156475E-2</v>
      </c>
      <c r="AF31" s="159">
        <v>6.770446182960059E-2</v>
      </c>
    </row>
    <row r="32" spans="1:32" ht="15" customHeight="1" x14ac:dyDescent="0.2">
      <c r="A32" s="3">
        <v>35915</v>
      </c>
      <c r="B32" s="159">
        <v>5.3249998092651362E-3</v>
      </c>
      <c r="C32" s="159">
        <v>8.5249998092651359E-3</v>
      </c>
      <c r="D32" s="159">
        <v>3.1249998092651365E-3</v>
      </c>
      <c r="E32" s="159">
        <v>-1.2750001907348638E-3</v>
      </c>
      <c r="F32" s="159">
        <v>-4.2750001907348638E-3</v>
      </c>
      <c r="G32" s="159">
        <v>7.2249998092651369E-3</v>
      </c>
      <c r="H32" s="159">
        <v>-5.9750001907348631E-3</v>
      </c>
      <c r="I32" s="159">
        <v>1.1524999809265135E-2</v>
      </c>
      <c r="J32" s="159">
        <v>-4.4475000190734866E-2</v>
      </c>
      <c r="K32" s="159">
        <v>4.4249998092651364E-3</v>
      </c>
      <c r="L32" s="159">
        <v>5.7191643469859683E-3</v>
      </c>
      <c r="M32" s="3">
        <v>35915</v>
      </c>
      <c r="O32" s="3">
        <v>35915</v>
      </c>
      <c r="AB32" s="3">
        <v>35915</v>
      </c>
      <c r="AC32" s="159">
        <v>5.7191643469859683E-3</v>
      </c>
      <c r="AD32" s="159">
        <v>4.6851895900156475E-2</v>
      </c>
      <c r="AE32" s="159">
        <v>6.770446182960059E-2</v>
      </c>
      <c r="AF32" s="159">
        <v>6.6558009519900735E-3</v>
      </c>
    </row>
    <row r="33" spans="1:32" ht="15" customHeight="1" x14ac:dyDescent="0.2">
      <c r="A33" s="3">
        <v>35885</v>
      </c>
      <c r="B33" s="159">
        <v>5.5210416539510095E-2</v>
      </c>
      <c r="C33" s="159">
        <v>1.0010416539510092E-2</v>
      </c>
      <c r="D33" s="159">
        <v>2.0610416539510089E-2</v>
      </c>
      <c r="E33" s="159">
        <v>1.551041653951009E-2</v>
      </c>
      <c r="F33" s="159">
        <v>1.1910416539510091E-2</v>
      </c>
      <c r="G33" s="159">
        <v>4.6110416539510091E-2</v>
      </c>
      <c r="H33" s="159">
        <v>3.2110416539510092E-2</v>
      </c>
      <c r="I33" s="159">
        <v>9.7410416539510089E-2</v>
      </c>
      <c r="J33" s="159">
        <v>6.4104165395100915E-3</v>
      </c>
      <c r="K33" s="159">
        <v>-2.8389583460489906E-2</v>
      </c>
      <c r="L33" s="159">
        <v>4.6851895900156475E-2</v>
      </c>
      <c r="M33" s="3">
        <v>35885</v>
      </c>
      <c r="O33" s="3">
        <v>35885</v>
      </c>
      <c r="P33" s="159">
        <f t="shared" ref="P33:Z33" si="10">SUM(B33:B35)</f>
        <v>5.4217916949590057E-2</v>
      </c>
      <c r="Q33" s="159">
        <f t="shared" si="10"/>
        <v>2.6217916949590046E-2</v>
      </c>
      <c r="R33" s="159">
        <f t="shared" si="10"/>
        <v>5.5017916949590046E-2</v>
      </c>
      <c r="S33" s="159">
        <f t="shared" si="10"/>
        <v>3.4617916949590044E-2</v>
      </c>
      <c r="T33" s="159">
        <f t="shared" si="10"/>
        <v>3.1179169495900473E-3</v>
      </c>
      <c r="U33" s="159">
        <f t="shared" si="10"/>
        <v>8.471791694959005E-2</v>
      </c>
      <c r="V33" s="159">
        <f t="shared" si="10"/>
        <v>-1.5382083050409952E-2</v>
      </c>
      <c r="W33" s="159">
        <f t="shared" si="10"/>
        <v>6.9217916949590036E-2</v>
      </c>
      <c r="X33" s="159">
        <f t="shared" si="10"/>
        <v>3.8179169495900465E-3</v>
      </c>
      <c r="Y33" s="159">
        <f t="shared" si="10"/>
        <v>-0.11628208305040995</v>
      </c>
      <c r="Z33" s="159">
        <f t="shared" si="10"/>
        <v>0.12121215868174713</v>
      </c>
      <c r="AB33" s="3">
        <v>35885</v>
      </c>
      <c r="AC33" s="159">
        <v>4.6851895900156475E-2</v>
      </c>
      <c r="AD33" s="159">
        <v>6.770446182960059E-2</v>
      </c>
      <c r="AE33" s="159">
        <v>6.6558009519900735E-3</v>
      </c>
      <c r="AF33" s="159">
        <v>1.270914766025176E-2</v>
      </c>
    </row>
    <row r="34" spans="1:32" ht="15" customHeight="1" x14ac:dyDescent="0.2">
      <c r="A34" s="3">
        <v>35854</v>
      </c>
      <c r="B34" s="159">
        <v>1.5345833317438761E-2</v>
      </c>
      <c r="C34" s="159">
        <v>1.204583331743876E-2</v>
      </c>
      <c r="D34" s="159">
        <v>2.1345833317438764E-2</v>
      </c>
      <c r="E34" s="159">
        <v>1.424583331743876E-2</v>
      </c>
      <c r="F34" s="159">
        <v>3.8458333174387609E-3</v>
      </c>
      <c r="G34" s="159">
        <v>5.2145833317438758E-2</v>
      </c>
      <c r="H34" s="159">
        <v>1.5745833317438764E-2</v>
      </c>
      <c r="I34" s="159">
        <v>-2.1541666825612388E-3</v>
      </c>
      <c r="J34" s="159">
        <v>-7.054166682561239E-3</v>
      </c>
      <c r="K34" s="159">
        <v>-7.3154166682561236E-2</v>
      </c>
      <c r="L34" s="159">
        <v>6.770446182960059E-2</v>
      </c>
      <c r="M34" s="3">
        <v>35854</v>
      </c>
      <c r="O34" s="3">
        <v>35854</v>
      </c>
      <c r="AB34" s="3">
        <v>35854</v>
      </c>
      <c r="AC34" s="159">
        <v>6.770446182960059E-2</v>
      </c>
      <c r="AD34" s="159">
        <v>6.6558009519900735E-3</v>
      </c>
      <c r="AE34" s="159">
        <v>1.270914766025176E-2</v>
      </c>
      <c r="AF34" s="159">
        <v>4.1833979662365371E-2</v>
      </c>
    </row>
    <row r="35" spans="1:32" ht="15" customHeight="1" x14ac:dyDescent="0.2">
      <c r="A35" s="3">
        <v>35826</v>
      </c>
      <c r="B35" s="159">
        <v>-1.6338332907358803E-2</v>
      </c>
      <c r="C35" s="159">
        <v>4.1616670926411942E-3</v>
      </c>
      <c r="D35" s="159">
        <v>1.3061667092641194E-2</v>
      </c>
      <c r="E35" s="159">
        <v>4.8616670926411951E-3</v>
      </c>
      <c r="F35" s="159">
        <v>-1.2638332907358805E-2</v>
      </c>
      <c r="G35" s="159">
        <v>-1.3538332907358805E-2</v>
      </c>
      <c r="H35" s="159">
        <v>-6.3238332907358807E-2</v>
      </c>
      <c r="I35" s="159">
        <v>-2.6038332907358804E-2</v>
      </c>
      <c r="J35" s="159">
        <v>4.4616670926411941E-3</v>
      </c>
      <c r="K35" s="159">
        <v>-1.4738332907358806E-2</v>
      </c>
      <c r="L35" s="159">
        <v>6.6558009519900735E-3</v>
      </c>
      <c r="M35" s="3">
        <v>35826</v>
      </c>
      <c r="O35" s="3">
        <v>35826</v>
      </c>
      <c r="AB35" s="3">
        <v>35826</v>
      </c>
      <c r="AC35" s="159">
        <v>6.6558009519900735E-3</v>
      </c>
      <c r="AD35" s="159">
        <v>1.270914766025176E-2</v>
      </c>
      <c r="AE35" s="159">
        <v>4.1833979662365371E-2</v>
      </c>
      <c r="AF35" s="159">
        <v>-3.7692144930026601E-2</v>
      </c>
    </row>
    <row r="36" spans="1:32" ht="15" customHeight="1" x14ac:dyDescent="0.2">
      <c r="A36" s="3">
        <v>35795</v>
      </c>
      <c r="B36" s="159">
        <v>2.7902083110809325E-2</v>
      </c>
      <c r="C36" s="159">
        <v>5.8020831108093257E-3</v>
      </c>
      <c r="D36" s="159">
        <v>1.4802083110809324E-2</v>
      </c>
      <c r="E36" s="159">
        <v>-3.8979168891906738E-3</v>
      </c>
      <c r="F36" s="159">
        <v>2.8020831108093265E-3</v>
      </c>
      <c r="G36" s="159">
        <v>1.1202083110809325E-2</v>
      </c>
      <c r="H36" s="159">
        <v>3.8702083110809325E-2</v>
      </c>
      <c r="I36" s="159">
        <v>4.710208311080933E-2</v>
      </c>
      <c r="J36" s="159">
        <v>2.3902083110809325E-2</v>
      </c>
      <c r="K36" s="159">
        <v>6.1020831108093256E-3</v>
      </c>
      <c r="L36" s="159">
        <v>1.270914766025176E-2</v>
      </c>
      <c r="M36" s="3">
        <v>35795</v>
      </c>
      <c r="O36" s="3">
        <v>35795</v>
      </c>
      <c r="P36" s="159">
        <f t="shared" ref="P36:Z36" si="11">SUM(B36:B38)</f>
        <v>1.3082083431879676E-2</v>
      </c>
      <c r="Q36" s="159">
        <f t="shared" si="11"/>
        <v>-6.217916568120322E-3</v>
      </c>
      <c r="R36" s="159">
        <f t="shared" si="11"/>
        <v>2.4182083431879674E-2</v>
      </c>
      <c r="S36" s="159">
        <f t="shared" si="11"/>
        <v>-8.0179165681203216E-3</v>
      </c>
      <c r="T36" s="159">
        <f t="shared" si="11"/>
        <v>-1.7417916568120324E-2</v>
      </c>
      <c r="U36" s="159">
        <f t="shared" si="11"/>
        <v>-1.7817916568120321E-2</v>
      </c>
      <c r="V36" s="159">
        <f t="shared" si="11"/>
        <v>-9.5917916568120321E-2</v>
      </c>
      <c r="W36" s="159">
        <f t="shared" si="11"/>
        <v>5.4382083431879683E-2</v>
      </c>
      <c r="X36" s="159">
        <f t="shared" si="11"/>
        <v>1.3820834318796788E-3</v>
      </c>
      <c r="Y36" s="159">
        <f t="shared" si="11"/>
        <v>9.4482083431879679E-2</v>
      </c>
      <c r="Z36" s="159">
        <f t="shared" si="11"/>
        <v>1.685098239259053E-2</v>
      </c>
      <c r="AB36" s="3">
        <v>35795</v>
      </c>
      <c r="AC36" s="159">
        <v>1.270914766025176E-2</v>
      </c>
      <c r="AD36" s="159">
        <v>4.1833979662365371E-2</v>
      </c>
      <c r="AE36" s="159">
        <v>-3.7692144930026601E-2</v>
      </c>
      <c r="AF36" s="159">
        <v>5.0456180481225736E-2</v>
      </c>
    </row>
    <row r="37" spans="1:32" ht="15" customHeight="1" x14ac:dyDescent="0.2">
      <c r="A37" s="3">
        <v>35764</v>
      </c>
      <c r="B37" s="159">
        <v>5.7083332538604738E-3</v>
      </c>
      <c r="C37" s="159">
        <v>-1.2491666746139527E-2</v>
      </c>
      <c r="D37" s="159">
        <v>9.0083332538604729E-3</v>
      </c>
      <c r="E37" s="159">
        <v>-8.091666746139526E-3</v>
      </c>
      <c r="F37" s="159">
        <v>-2.9166674613952635E-4</v>
      </c>
      <c r="G37" s="159">
        <v>-1.6491666746139527E-2</v>
      </c>
      <c r="H37" s="159">
        <v>-5.1891666746139528E-2</v>
      </c>
      <c r="I37" s="159">
        <v>3.0308333253860474E-2</v>
      </c>
      <c r="J37" s="159">
        <v>-1.1091666746139525E-2</v>
      </c>
      <c r="K37" s="159">
        <v>2.5008333253860475E-2</v>
      </c>
      <c r="L37" s="159">
        <v>4.1833979662365371E-2</v>
      </c>
      <c r="M37" s="3">
        <v>35764</v>
      </c>
      <c r="O37" s="3">
        <v>35764</v>
      </c>
      <c r="AB37" s="3">
        <v>35764</v>
      </c>
      <c r="AC37" s="159">
        <v>4.1833979662365371E-2</v>
      </c>
      <c r="AD37" s="159">
        <v>-3.7692144930026601E-2</v>
      </c>
      <c r="AE37" s="159">
        <v>5.0456180481225736E-2</v>
      </c>
      <c r="AF37" s="159">
        <v>-6.0461670974005392E-2</v>
      </c>
    </row>
    <row r="38" spans="1:32" ht="15" customHeight="1" x14ac:dyDescent="0.2">
      <c r="A38" s="3">
        <v>35734</v>
      </c>
      <c r="B38" s="159">
        <v>-2.0528332932790123E-2</v>
      </c>
      <c r="C38" s="159">
        <v>4.7166706720987942E-4</v>
      </c>
      <c r="D38" s="159">
        <v>3.7166706720987916E-4</v>
      </c>
      <c r="E38" s="159">
        <v>3.9716670672098791E-3</v>
      </c>
      <c r="F38" s="159">
        <v>-1.9928332932790123E-2</v>
      </c>
      <c r="G38" s="159">
        <v>-1.2528332932790119E-2</v>
      </c>
      <c r="H38" s="159">
        <v>-8.2728332932790125E-2</v>
      </c>
      <c r="I38" s="159">
        <v>-2.3028332932790122E-2</v>
      </c>
      <c r="J38" s="159">
        <v>-1.1428332932790121E-2</v>
      </c>
      <c r="K38" s="159">
        <v>6.3371667067209883E-2</v>
      </c>
      <c r="L38" s="159">
        <v>-3.7692144930026601E-2</v>
      </c>
      <c r="M38" s="3">
        <v>35734</v>
      </c>
      <c r="O38" s="3">
        <v>35734</v>
      </c>
      <c r="AB38" s="3">
        <v>35734</v>
      </c>
      <c r="AC38" s="159">
        <v>-3.7692144930026601E-2</v>
      </c>
      <c r="AD38" s="159">
        <v>5.0456180481225736E-2</v>
      </c>
      <c r="AE38" s="159">
        <v>-6.0461670974005392E-2</v>
      </c>
      <c r="AF38" s="159">
        <v>7.5182192686756549E-2</v>
      </c>
    </row>
    <row r="39" spans="1:32" ht="15" customHeight="1" x14ac:dyDescent="0.2">
      <c r="A39" s="3">
        <v>35703</v>
      </c>
      <c r="B39" s="159">
        <v>3.5756250127156573E-2</v>
      </c>
      <c r="C39" s="159">
        <v>6.1562501271565755E-3</v>
      </c>
      <c r="D39" s="159">
        <v>2.0856250127156577E-2</v>
      </c>
      <c r="E39" s="159">
        <v>1.3956250127156577E-2</v>
      </c>
      <c r="F39" s="159">
        <v>7.3562501271565751E-3</v>
      </c>
      <c r="G39" s="159">
        <v>5.4956250127156575E-2</v>
      </c>
      <c r="H39" s="159">
        <v>2.3656250127156574E-2</v>
      </c>
      <c r="I39" s="159">
        <v>4.2156250127156576E-2</v>
      </c>
      <c r="J39" s="159">
        <v>3.2156250127156574E-2</v>
      </c>
      <c r="K39" s="159">
        <v>-3.7343749872843425E-2</v>
      </c>
      <c r="L39" s="159">
        <v>5.0456180481225736E-2</v>
      </c>
      <c r="M39" s="3">
        <v>35703</v>
      </c>
      <c r="O39" s="3">
        <v>35703</v>
      </c>
      <c r="P39" s="159">
        <f t="shared" ref="P39:Z39" si="12">SUM(B39:B41)</f>
        <v>8.4564166975021365E-2</v>
      </c>
      <c r="Q39" s="159">
        <f t="shared" si="12"/>
        <v>3.6264166975021363E-2</v>
      </c>
      <c r="R39" s="159">
        <f t="shared" si="12"/>
        <v>4.5564166975021358E-2</v>
      </c>
      <c r="S39" s="159">
        <f t="shared" si="12"/>
        <v>2.8864166975021359E-2</v>
      </c>
      <c r="T39" s="159">
        <f t="shared" si="12"/>
        <v>1.7964166975021362E-2</v>
      </c>
      <c r="U39" s="159">
        <f t="shared" si="12"/>
        <v>0.12296416697502137</v>
      </c>
      <c r="V39" s="159">
        <f t="shared" si="12"/>
        <v>4.3264166975021369E-2</v>
      </c>
      <c r="W39" s="159">
        <f t="shared" si="12"/>
        <v>0.11086416697502137</v>
      </c>
      <c r="X39" s="159">
        <f t="shared" si="12"/>
        <v>7.8641669750213611E-3</v>
      </c>
      <c r="Y39" s="159">
        <f t="shared" si="12"/>
        <v>-0.10973583302497864</v>
      </c>
      <c r="Z39" s="159">
        <f t="shared" si="12"/>
        <v>6.5176702193976893E-2</v>
      </c>
      <c r="AB39" s="3">
        <v>35703</v>
      </c>
      <c r="AC39" s="159">
        <v>5.0456180481225736E-2</v>
      </c>
      <c r="AD39" s="159">
        <v>-6.0461670974005392E-2</v>
      </c>
      <c r="AE39" s="159">
        <v>7.5182192686756549E-2</v>
      </c>
      <c r="AF39" s="159">
        <v>4.0533018939074163E-2</v>
      </c>
    </row>
    <row r="40" spans="1:32" ht="15" customHeight="1" x14ac:dyDescent="0.2">
      <c r="A40" s="3">
        <v>35673</v>
      </c>
      <c r="B40" s="159">
        <v>-1.6873333152135211E-2</v>
      </c>
      <c r="C40" s="159">
        <v>1.3226666847864789E-2</v>
      </c>
      <c r="D40" s="159">
        <v>-6.873333152135213E-3</v>
      </c>
      <c r="E40" s="159">
        <v>-1.3473333152135213E-2</v>
      </c>
      <c r="F40" s="159">
        <v>3.9266668478647876E-3</v>
      </c>
      <c r="G40" s="159">
        <v>1.9266668478647867E-3</v>
      </c>
      <c r="H40" s="159">
        <v>-4.0773333152135209E-2</v>
      </c>
      <c r="I40" s="159">
        <v>-2.8373333152135215E-2</v>
      </c>
      <c r="J40" s="159">
        <v>-7.6973333152135212E-2</v>
      </c>
      <c r="K40" s="159">
        <v>-4.9733331521352132E-3</v>
      </c>
      <c r="L40" s="159">
        <v>-6.0461670974005392E-2</v>
      </c>
      <c r="M40" s="3">
        <v>35673</v>
      </c>
      <c r="O40" s="3">
        <v>35673</v>
      </c>
      <c r="AB40" s="3">
        <v>35673</v>
      </c>
      <c r="AC40" s="159">
        <v>-6.0461670974005392E-2</v>
      </c>
      <c r="AD40" s="159">
        <v>7.5182192686756549E-2</v>
      </c>
      <c r="AE40" s="159">
        <v>4.0533018939074163E-2</v>
      </c>
      <c r="AF40" s="159">
        <v>5.6443211180255984E-2</v>
      </c>
    </row>
    <row r="41" spans="1:32" ht="15" customHeight="1" x14ac:dyDescent="0.2">
      <c r="A41" s="3">
        <v>35642</v>
      </c>
      <c r="B41" s="159">
        <v>6.5681249999999997E-2</v>
      </c>
      <c r="C41" s="159">
        <v>1.688125E-2</v>
      </c>
      <c r="D41" s="159">
        <v>3.1581249999999998E-2</v>
      </c>
      <c r="E41" s="159">
        <v>2.8381249999999997E-2</v>
      </c>
      <c r="F41" s="159">
        <v>6.6812499999999997E-3</v>
      </c>
      <c r="G41" s="159">
        <v>6.6081250000000008E-2</v>
      </c>
      <c r="H41" s="159">
        <v>6.0381250000000004E-2</v>
      </c>
      <c r="I41" s="159">
        <v>9.7081250000000008E-2</v>
      </c>
      <c r="J41" s="159">
        <v>5.2681249999999999E-2</v>
      </c>
      <c r="K41" s="159">
        <v>-6.741875E-2</v>
      </c>
      <c r="L41" s="159">
        <v>7.5182192686756549E-2</v>
      </c>
      <c r="M41" s="3">
        <v>35642</v>
      </c>
      <c r="O41" s="3">
        <v>35642</v>
      </c>
      <c r="AB41" s="3">
        <v>35642</v>
      </c>
      <c r="AC41" s="159">
        <v>7.5182192686756549E-2</v>
      </c>
      <c r="AD41" s="159">
        <v>4.0533018939074163E-2</v>
      </c>
      <c r="AE41" s="159">
        <v>5.6443211180255984E-2</v>
      </c>
      <c r="AF41" s="159">
        <v>5.5223880538660647E-2</v>
      </c>
    </row>
    <row r="42" spans="1:32" ht="15" customHeight="1" x14ac:dyDescent="0.2">
      <c r="A42" s="3">
        <v>35611</v>
      </c>
      <c r="B42" s="159">
        <v>1.8497916555404663E-2</v>
      </c>
      <c r="C42" s="159">
        <v>1.6797916555404663E-2</v>
      </c>
      <c r="D42" s="159">
        <v>1.2897916555404666E-2</v>
      </c>
      <c r="E42" s="159">
        <v>7.6979165554046632E-3</v>
      </c>
      <c r="F42" s="159">
        <v>4.5979165554046629E-3</v>
      </c>
      <c r="G42" s="159">
        <v>1.8697916555404665E-2</v>
      </c>
      <c r="H42" s="159">
        <v>6.3997916555404655E-2</v>
      </c>
      <c r="I42" s="159">
        <v>1.6897916555404666E-2</v>
      </c>
      <c r="J42" s="159">
        <v>-2.0020834445953367E-3</v>
      </c>
      <c r="K42" s="159">
        <v>-1.2502083444595337E-2</v>
      </c>
      <c r="L42" s="159">
        <v>4.0533018939074163E-2</v>
      </c>
      <c r="M42" s="3">
        <v>35611</v>
      </c>
      <c r="O42" s="3">
        <v>35611</v>
      </c>
      <c r="P42" s="159">
        <f t="shared" ref="P42:Z42" si="13">SUM(B42:B44)</f>
        <v>4.7316249608993534E-2</v>
      </c>
      <c r="Q42" s="159">
        <f t="shared" si="13"/>
        <v>3.5216249608993527E-2</v>
      </c>
      <c r="R42" s="159">
        <f t="shared" si="13"/>
        <v>3.6716249608993536E-2</v>
      </c>
      <c r="S42" s="159">
        <f t="shared" si="13"/>
        <v>4.1516249608993534E-2</v>
      </c>
      <c r="T42" s="159">
        <f t="shared" si="13"/>
        <v>1.8516249608993528E-2</v>
      </c>
      <c r="U42" s="159">
        <f t="shared" si="13"/>
        <v>6.1616249608993534E-2</v>
      </c>
      <c r="V42" s="159">
        <f t="shared" si="13"/>
        <v>0.10481624960899352</v>
      </c>
      <c r="W42" s="159">
        <f t="shared" si="13"/>
        <v>4.7616249608993536E-2</v>
      </c>
      <c r="X42" s="159">
        <f t="shared" si="13"/>
        <v>-4.5083750391006469E-2</v>
      </c>
      <c r="Y42" s="159">
        <f t="shared" si="13"/>
        <v>-9.4083750391006471E-2</v>
      </c>
      <c r="Z42" s="159">
        <f t="shared" si="13"/>
        <v>0.1522001106579908</v>
      </c>
      <c r="AB42" s="3">
        <v>35611</v>
      </c>
      <c r="AC42" s="159">
        <v>4.0533018939074163E-2</v>
      </c>
      <c r="AD42" s="159">
        <v>5.6443211180255984E-2</v>
      </c>
      <c r="AE42" s="159">
        <v>5.5223880538660647E-2</v>
      </c>
      <c r="AF42" s="159">
        <v>-4.553624072661714E-2</v>
      </c>
    </row>
    <row r="43" spans="1:32" ht="15" customHeight="1" x14ac:dyDescent="0.2">
      <c r="A43" s="3">
        <v>35581</v>
      </c>
      <c r="B43" s="159">
        <v>4.5266664505004888E-3</v>
      </c>
      <c r="C43" s="159">
        <v>1.2526666450500486E-2</v>
      </c>
      <c r="D43" s="159">
        <v>2.4826666450500488E-2</v>
      </c>
      <c r="E43" s="159">
        <v>2.6026666450500488E-2</v>
      </c>
      <c r="F43" s="159">
        <v>5.8266664505004879E-3</v>
      </c>
      <c r="G43" s="159">
        <v>4.7126666450500489E-2</v>
      </c>
      <c r="H43" s="159">
        <v>2.5426666450500488E-2</v>
      </c>
      <c r="I43" s="159">
        <v>-2.4473333549499512E-2</v>
      </c>
      <c r="J43" s="159">
        <v>-1.1873333549499512E-2</v>
      </c>
      <c r="K43" s="159">
        <v>-6.9273333549499508E-2</v>
      </c>
      <c r="L43" s="159">
        <v>5.6443211180255984E-2</v>
      </c>
      <c r="M43" s="3">
        <v>35581</v>
      </c>
      <c r="O43" s="3">
        <v>35581</v>
      </c>
      <c r="AB43" s="3">
        <v>35581</v>
      </c>
      <c r="AC43" s="159">
        <v>5.6443211180255984E-2</v>
      </c>
      <c r="AD43" s="159">
        <v>5.5223880538660647E-2</v>
      </c>
      <c r="AE43" s="159">
        <v>-4.553624072661714E-2</v>
      </c>
      <c r="AF43" s="159">
        <v>3.502293398615252E-3</v>
      </c>
    </row>
    <row r="44" spans="1:32" ht="15" customHeight="1" x14ac:dyDescent="0.2">
      <c r="A44" s="3">
        <v>35550</v>
      </c>
      <c r="B44" s="159">
        <v>2.4291666603088381E-2</v>
      </c>
      <c r="C44" s="159">
        <v>5.8916666030883798E-3</v>
      </c>
      <c r="D44" s="159">
        <v>-1.0083333969116209E-3</v>
      </c>
      <c r="E44" s="159">
        <v>7.7916666030883788E-3</v>
      </c>
      <c r="F44" s="159">
        <v>8.0916666030883787E-3</v>
      </c>
      <c r="G44" s="159">
        <v>-4.2083333969116206E-3</v>
      </c>
      <c r="H44" s="159">
        <v>1.5391666603088378E-2</v>
      </c>
      <c r="I44" s="159">
        <v>5.5191666603088378E-2</v>
      </c>
      <c r="J44" s="159">
        <v>-3.1208333396911619E-2</v>
      </c>
      <c r="K44" s="159">
        <v>-1.2308333396911621E-2</v>
      </c>
      <c r="L44" s="159">
        <v>5.5223880538660647E-2</v>
      </c>
      <c r="M44" s="3">
        <v>35550</v>
      </c>
      <c r="O44" s="3">
        <v>35550</v>
      </c>
      <c r="AB44" s="3">
        <v>35550</v>
      </c>
      <c r="AC44" s="159">
        <v>5.5223880538660647E-2</v>
      </c>
      <c r="AD44" s="159">
        <v>-4.553624072661714E-2</v>
      </c>
      <c r="AE44" s="159">
        <v>3.502293398615252E-3</v>
      </c>
      <c r="AF44" s="159">
        <v>5.8103112490578958E-2</v>
      </c>
    </row>
    <row r="45" spans="1:32" ht="15" customHeight="1" x14ac:dyDescent="0.2">
      <c r="A45" s="3">
        <v>35520</v>
      </c>
      <c r="B45" s="159">
        <v>-1.8381249841054281E-2</v>
      </c>
      <c r="C45" s="159">
        <v>5.1187501589457195E-3</v>
      </c>
      <c r="D45" s="159">
        <v>-2.4812498410542809E-3</v>
      </c>
      <c r="E45" s="159">
        <v>-1.5781249841054279E-2</v>
      </c>
      <c r="F45" s="159">
        <v>2.9187501589457189E-3</v>
      </c>
      <c r="G45" s="159">
        <v>-2.6981249841054281E-2</v>
      </c>
      <c r="H45" s="159">
        <v>-1.2081249841054281E-2</v>
      </c>
      <c r="I45" s="159">
        <v>-2.598124984105428E-2</v>
      </c>
      <c r="J45" s="159">
        <v>-1.3781249841054281E-2</v>
      </c>
      <c r="K45" s="159">
        <v>7.6018750158945714E-2</v>
      </c>
      <c r="L45" s="159">
        <v>-4.553624072661714E-2</v>
      </c>
      <c r="M45" s="3">
        <v>35520</v>
      </c>
      <c r="O45" s="3">
        <v>35520</v>
      </c>
      <c r="P45" s="159">
        <f t="shared" ref="P45:Z45" si="14">SUM(B45:B47)</f>
        <v>4.1045000108083089E-2</v>
      </c>
      <c r="Q45" s="159">
        <f t="shared" si="14"/>
        <v>2.0345000108083086E-2</v>
      </c>
      <c r="R45" s="159">
        <f t="shared" si="14"/>
        <v>2.7045000108083084E-2</v>
      </c>
      <c r="S45" s="159">
        <f t="shared" si="14"/>
        <v>2.7245000108083086E-2</v>
      </c>
      <c r="T45" s="159">
        <f t="shared" si="14"/>
        <v>2.0345000108083086E-2</v>
      </c>
      <c r="U45" s="159">
        <f t="shared" si="14"/>
        <v>-1.6254999891916914E-2</v>
      </c>
      <c r="V45" s="159">
        <f t="shared" si="14"/>
        <v>0.15104500010808308</v>
      </c>
      <c r="W45" s="159">
        <f t="shared" si="14"/>
        <v>6.5945000108083102E-2</v>
      </c>
      <c r="X45" s="159">
        <f t="shared" si="14"/>
        <v>2.2145000108083086E-2</v>
      </c>
      <c r="Y45" s="159">
        <f t="shared" si="14"/>
        <v>7.404500010808307E-2</v>
      </c>
      <c r="Z45" s="159">
        <f t="shared" si="14"/>
        <v>1.6069165162577066E-2</v>
      </c>
      <c r="AB45" s="3">
        <v>35520</v>
      </c>
      <c r="AC45" s="159">
        <v>-4.553624072661714E-2</v>
      </c>
      <c r="AD45" s="159">
        <v>3.502293398615252E-3</v>
      </c>
      <c r="AE45" s="159">
        <v>5.8103112490578958E-2</v>
      </c>
      <c r="AF45" s="159">
        <v>-2.4041210727315278E-2</v>
      </c>
    </row>
    <row r="46" spans="1:32" ht="15" customHeight="1" x14ac:dyDescent="0.2">
      <c r="A46" s="3">
        <v>35489</v>
      </c>
      <c r="B46" s="159">
        <v>8.8312499523162842E-3</v>
      </c>
      <c r="C46" s="159">
        <v>9.1312499523162824E-3</v>
      </c>
      <c r="D46" s="159">
        <v>1.0731249952316283E-2</v>
      </c>
      <c r="E46" s="159">
        <v>1.5531249952316282E-2</v>
      </c>
      <c r="F46" s="159">
        <v>6.8312499523162833E-3</v>
      </c>
      <c r="G46" s="159">
        <v>-1.9968750047683718E-2</v>
      </c>
      <c r="H46" s="159">
        <v>7.2731249952316279E-2</v>
      </c>
      <c r="I46" s="159">
        <v>1.4031249952316284E-2</v>
      </c>
      <c r="J46" s="159">
        <v>1.0131249952316283E-2</v>
      </c>
      <c r="K46" s="159">
        <v>2.0831249952316284E-2</v>
      </c>
      <c r="L46" s="159">
        <v>3.502293398615252E-3</v>
      </c>
      <c r="M46" s="3">
        <v>35489</v>
      </c>
      <c r="O46" s="3">
        <v>35489</v>
      </c>
      <c r="AB46" s="3">
        <v>35489</v>
      </c>
      <c r="AC46" s="159">
        <v>3.502293398615252E-3</v>
      </c>
      <c r="AD46" s="159">
        <v>5.8103112490578958E-2</v>
      </c>
      <c r="AE46" s="159">
        <v>-2.4041210727315278E-2</v>
      </c>
      <c r="AF46" s="159">
        <v>7.1226732033222162E-2</v>
      </c>
    </row>
    <row r="47" spans="1:32" ht="15" customHeight="1" x14ac:dyDescent="0.2">
      <c r="A47" s="3">
        <v>35461</v>
      </c>
      <c r="B47" s="159">
        <v>5.0594999996821086E-2</v>
      </c>
      <c r="C47" s="159">
        <v>6.094999996821086E-3</v>
      </c>
      <c r="D47" s="159">
        <v>1.8794999996821084E-2</v>
      </c>
      <c r="E47" s="159">
        <v>2.7494999996821083E-2</v>
      </c>
      <c r="F47" s="159">
        <v>1.0594999996821087E-2</v>
      </c>
      <c r="G47" s="159">
        <v>3.0694999996821085E-2</v>
      </c>
      <c r="H47" s="159">
        <v>9.0394999996821088E-2</v>
      </c>
      <c r="I47" s="159">
        <v>7.789499999682109E-2</v>
      </c>
      <c r="J47" s="159">
        <v>2.5794999996821083E-2</v>
      </c>
      <c r="K47" s="159">
        <v>-2.2805000003178914E-2</v>
      </c>
      <c r="L47" s="159">
        <v>5.8103112490578958E-2</v>
      </c>
      <c r="M47" s="3">
        <v>35461</v>
      </c>
      <c r="O47" s="3">
        <v>35461</v>
      </c>
      <c r="AB47" s="3">
        <v>35461</v>
      </c>
      <c r="AC47" s="159">
        <v>5.8103112490578958E-2</v>
      </c>
      <c r="AD47" s="159">
        <v>-2.4041210727315278E-2</v>
      </c>
      <c r="AE47" s="159">
        <v>7.1226732033222162E-2</v>
      </c>
      <c r="AF47" s="159">
        <v>2.3249325556415946E-2</v>
      </c>
    </row>
    <row r="48" spans="1:32" ht="15" customHeight="1" x14ac:dyDescent="0.2">
      <c r="A48" s="3">
        <v>35430</v>
      </c>
      <c r="B48" s="159">
        <v>-9.6041661898295079E-4</v>
      </c>
      <c r="C48" s="159">
        <v>4.4395833810170499E-3</v>
      </c>
      <c r="D48" s="159">
        <v>1.473958338101705E-2</v>
      </c>
      <c r="E48" s="159">
        <v>5.4395833810170491E-3</v>
      </c>
      <c r="F48" s="159">
        <v>1.3439583381017051E-2</v>
      </c>
      <c r="G48" s="159">
        <v>4.13958338101705E-3</v>
      </c>
      <c r="H48" s="159">
        <v>2.023958338101705E-2</v>
      </c>
      <c r="I48" s="159">
        <v>-1.1660416618982952E-2</v>
      </c>
      <c r="J48" s="159">
        <v>-2.2360416618982949E-2</v>
      </c>
      <c r="K48" s="159">
        <v>9.0395833810170498E-3</v>
      </c>
      <c r="L48" s="159">
        <v>-2.4041210727315278E-2</v>
      </c>
      <c r="M48" s="3">
        <v>35430</v>
      </c>
      <c r="O48" s="3">
        <v>35430</v>
      </c>
      <c r="P48" s="159">
        <f t="shared" ref="P48:Z48" si="15">SUM(B48:B50)</f>
        <v>7.4581665913263956E-2</v>
      </c>
      <c r="Q48" s="159">
        <f t="shared" si="15"/>
        <v>2.3981665913263957E-2</v>
      </c>
      <c r="R48" s="159">
        <f t="shared" si="15"/>
        <v>4.5681665913263961E-2</v>
      </c>
      <c r="S48" s="159">
        <f t="shared" si="15"/>
        <v>2.8181665913263959E-2</v>
      </c>
      <c r="T48" s="159">
        <f t="shared" si="15"/>
        <v>2.8381665913263958E-2</v>
      </c>
      <c r="U48" s="159">
        <f t="shared" si="15"/>
        <v>4.5781665913263964E-2</v>
      </c>
      <c r="V48" s="159">
        <f t="shared" si="15"/>
        <v>5.4881665913263954E-2</v>
      </c>
      <c r="W48" s="159">
        <f t="shared" si="15"/>
        <v>0.11438166591326396</v>
      </c>
      <c r="X48" s="159">
        <f t="shared" si="15"/>
        <v>6.7281665913263955E-2</v>
      </c>
      <c r="Y48" s="159">
        <f t="shared" si="15"/>
        <v>1.4281665913263956E-2</v>
      </c>
      <c r="Z48" s="159">
        <f t="shared" si="15"/>
        <v>7.0434846862322834E-2</v>
      </c>
      <c r="AB48" s="3">
        <v>35430</v>
      </c>
      <c r="AC48" s="159">
        <v>-2.4041210727315278E-2</v>
      </c>
      <c r="AD48" s="159">
        <v>7.1226732033222162E-2</v>
      </c>
      <c r="AE48" s="159">
        <v>2.3249325556415946E-2</v>
      </c>
      <c r="AF48" s="159">
        <v>5.1824421949209117E-2</v>
      </c>
    </row>
    <row r="49" spans="1:32" ht="15" customHeight="1" x14ac:dyDescent="0.2">
      <c r="A49" s="3">
        <v>35399</v>
      </c>
      <c r="B49" s="159">
        <v>4.6206666215260823E-2</v>
      </c>
      <c r="C49" s="159">
        <v>9.3066662152608247E-3</v>
      </c>
      <c r="D49" s="159">
        <v>2.1206666215260822E-2</v>
      </c>
      <c r="E49" s="159">
        <v>1.5806666215260824E-2</v>
      </c>
      <c r="F49" s="159">
        <v>7.5066662152608243E-3</v>
      </c>
      <c r="G49" s="159">
        <v>2.6506666215260825E-2</v>
      </c>
      <c r="H49" s="159">
        <v>2.1806666215260822E-2</v>
      </c>
      <c r="I49" s="159">
        <v>7.7106666215260827E-2</v>
      </c>
      <c r="J49" s="159">
        <v>3.7906666215260822E-2</v>
      </c>
      <c r="K49" s="159">
        <v>-3.3593333784739172E-2</v>
      </c>
      <c r="L49" s="159">
        <v>7.1226732033222162E-2</v>
      </c>
      <c r="M49" s="3">
        <v>35399</v>
      </c>
      <c r="O49" s="3">
        <v>35399</v>
      </c>
      <c r="AB49" s="3">
        <v>35399</v>
      </c>
      <c r="AC49" s="159">
        <v>7.1226732033222162E-2</v>
      </c>
      <c r="AD49" s="159">
        <v>2.3249325556415946E-2</v>
      </c>
      <c r="AE49" s="159">
        <v>5.1824421949209117E-2</v>
      </c>
      <c r="AF49" s="159">
        <v>1.6686303653684058E-2</v>
      </c>
    </row>
    <row r="50" spans="1:32" ht="15" customHeight="1" x14ac:dyDescent="0.2">
      <c r="A50" s="3">
        <v>35369</v>
      </c>
      <c r="B50" s="159">
        <v>2.9335416316986086E-2</v>
      </c>
      <c r="C50" s="159">
        <v>1.0235416316986084E-2</v>
      </c>
      <c r="D50" s="159">
        <v>9.7354163169860834E-3</v>
      </c>
      <c r="E50" s="159">
        <v>6.9354163169860848E-3</v>
      </c>
      <c r="F50" s="159">
        <v>7.4354163169860835E-3</v>
      </c>
      <c r="G50" s="159">
        <v>1.5135416316986085E-2</v>
      </c>
      <c r="H50" s="159">
        <v>1.2835416316986085E-2</v>
      </c>
      <c r="I50" s="159">
        <v>4.8935416316986086E-2</v>
      </c>
      <c r="J50" s="159">
        <v>5.1735416316986083E-2</v>
      </c>
      <c r="K50" s="159">
        <v>3.8835416316986081E-2</v>
      </c>
      <c r="L50" s="159">
        <v>2.3249325556415946E-2</v>
      </c>
      <c r="M50" s="3">
        <v>35369</v>
      </c>
      <c r="O50" s="3">
        <v>35369</v>
      </c>
      <c r="AB50" s="3">
        <v>35369</v>
      </c>
      <c r="AC50" s="159">
        <v>2.3249325556415946E-2</v>
      </c>
      <c r="AD50" s="159">
        <v>5.1824421949209117E-2</v>
      </c>
      <c r="AE50" s="159">
        <v>1.6686303653684058E-2</v>
      </c>
      <c r="AF50" s="159">
        <v>-4.8651620633770605E-2</v>
      </c>
    </row>
    <row r="51" spans="1:32" ht="15" customHeight="1" x14ac:dyDescent="0.2">
      <c r="A51" s="3">
        <v>35338</v>
      </c>
      <c r="B51" s="159">
        <v>2.0706249872843425E-2</v>
      </c>
      <c r="C51" s="159">
        <v>6.906249872843424E-3</v>
      </c>
      <c r="D51" s="159">
        <v>1.8006249872843424E-2</v>
      </c>
      <c r="E51" s="159">
        <v>8.906249872843424E-3</v>
      </c>
      <c r="F51" s="159">
        <v>1.0406249872843424E-2</v>
      </c>
      <c r="G51" s="159">
        <v>2.0706249872843425E-2</v>
      </c>
      <c r="H51" s="159">
        <v>1.1406249872843423E-2</v>
      </c>
      <c r="I51" s="159">
        <v>2.5806249872843422E-2</v>
      </c>
      <c r="J51" s="159">
        <v>2.7906249872843424E-2</v>
      </c>
      <c r="K51" s="159">
        <v>-6.3593750127156567E-2</v>
      </c>
      <c r="L51" s="159">
        <v>5.1824421949209117E-2</v>
      </c>
      <c r="M51" s="3">
        <v>35338</v>
      </c>
      <c r="O51" s="3">
        <v>35338</v>
      </c>
      <c r="P51" s="159">
        <f t="shared" ref="P51:Z51" si="16">SUM(B51:B53)</f>
        <v>-4.3395831584930461E-3</v>
      </c>
      <c r="Q51" s="159">
        <f t="shared" si="16"/>
        <v>2.5060416841506956E-2</v>
      </c>
      <c r="R51" s="159">
        <f t="shared" si="16"/>
        <v>3.3460416841506954E-2</v>
      </c>
      <c r="S51" s="159">
        <f t="shared" si="16"/>
        <v>2.1160416841506959E-2</v>
      </c>
      <c r="T51" s="159">
        <f t="shared" si="16"/>
        <v>2.566041684150696E-2</v>
      </c>
      <c r="U51" s="159">
        <f t="shared" si="16"/>
        <v>-2.0395831584930427E-3</v>
      </c>
      <c r="V51" s="159">
        <f t="shared" si="16"/>
        <v>1.1660416841506951E-2</v>
      </c>
      <c r="W51" s="159">
        <f t="shared" si="16"/>
        <v>-2.3139583158493043E-2</v>
      </c>
      <c r="X51" s="159">
        <f t="shared" si="16"/>
        <v>2.8160416841506955E-2</v>
      </c>
      <c r="Y51" s="159">
        <f t="shared" si="16"/>
        <v>-8.13958315849303E-3</v>
      </c>
      <c r="Z51" s="159">
        <f t="shared" si="16"/>
        <v>1.9859104969122569E-2</v>
      </c>
      <c r="AB51" s="3">
        <v>35338</v>
      </c>
      <c r="AC51" s="159">
        <v>5.1824421949209117E-2</v>
      </c>
      <c r="AD51" s="159">
        <v>1.6686303653684058E-2</v>
      </c>
      <c r="AE51" s="159">
        <v>-4.8651620633770605E-2</v>
      </c>
      <c r="AF51" s="159">
        <v>-6.0799455972213815E-4</v>
      </c>
    </row>
    <row r="52" spans="1:32" ht="15" customHeight="1" x14ac:dyDescent="0.2">
      <c r="A52" s="3">
        <v>35308</v>
      </c>
      <c r="B52" s="159">
        <v>2.0558333603541055E-2</v>
      </c>
      <c r="C52" s="159">
        <v>8.8583336035410569E-3</v>
      </c>
      <c r="D52" s="159">
        <v>1.7358333603541058E-2</v>
      </c>
      <c r="E52" s="159">
        <v>1.0558333603541057E-2</v>
      </c>
      <c r="F52" s="159">
        <v>6.1583336035410559E-3</v>
      </c>
      <c r="G52" s="159">
        <v>1.9558333603541058E-2</v>
      </c>
      <c r="H52" s="159">
        <v>3.1358333603541053E-2</v>
      </c>
      <c r="I52" s="159">
        <v>2.5058333603541056E-2</v>
      </c>
      <c r="J52" s="159">
        <v>3.558333603541056E-3</v>
      </c>
      <c r="K52" s="159">
        <v>-3.8541666396458937E-2</v>
      </c>
      <c r="L52" s="159">
        <v>1.6686303653684058E-2</v>
      </c>
      <c r="M52" s="3">
        <v>35308</v>
      </c>
      <c r="O52" s="3">
        <v>35308</v>
      </c>
      <c r="AB52" s="3">
        <v>35308</v>
      </c>
      <c r="AC52" s="159">
        <v>1.6686303653684058E-2</v>
      </c>
      <c r="AD52" s="159">
        <v>-4.8651620633770605E-2</v>
      </c>
      <c r="AE52" s="159">
        <v>-6.0799455972213815E-4</v>
      </c>
      <c r="AF52" s="159">
        <v>2.1439569013018564E-2</v>
      </c>
    </row>
    <row r="53" spans="1:32" ht="15" customHeight="1" x14ac:dyDescent="0.2">
      <c r="A53" s="3">
        <v>35277</v>
      </c>
      <c r="B53" s="159">
        <v>-4.5604166634877527E-2</v>
      </c>
      <c r="C53" s="159">
        <v>9.2958333651224773E-3</v>
      </c>
      <c r="D53" s="159">
        <v>-1.9041666348775231E-3</v>
      </c>
      <c r="E53" s="159">
        <v>1.6958333651224773E-3</v>
      </c>
      <c r="F53" s="159">
        <v>9.0958333651224785E-3</v>
      </c>
      <c r="G53" s="159">
        <v>-4.2304166634877523E-2</v>
      </c>
      <c r="H53" s="159">
        <v>-3.1104166634877525E-2</v>
      </c>
      <c r="I53" s="159">
        <v>-7.4004166634877522E-2</v>
      </c>
      <c r="J53" s="159">
        <v>-3.3041666348775228E-3</v>
      </c>
      <c r="K53" s="159">
        <v>9.3995833365122475E-2</v>
      </c>
      <c r="L53" s="159">
        <v>-4.8651620633770605E-2</v>
      </c>
      <c r="M53" s="3">
        <v>35277</v>
      </c>
      <c r="O53" s="3">
        <v>35277</v>
      </c>
      <c r="AB53" s="3">
        <v>35277</v>
      </c>
      <c r="AC53" s="159">
        <v>-4.8651620633770605E-2</v>
      </c>
      <c r="AD53" s="159">
        <v>-6.0799455972213815E-4</v>
      </c>
      <c r="AE53" s="159">
        <v>2.1439569013018564E-2</v>
      </c>
      <c r="AF53" s="159">
        <v>1.0422441374169469E-2</v>
      </c>
    </row>
    <row r="54" spans="1:32" ht="15" customHeight="1" x14ac:dyDescent="0.2">
      <c r="A54" s="3">
        <v>35246</v>
      </c>
      <c r="B54" s="159">
        <v>1.3143749936421711E-2</v>
      </c>
      <c r="C54" s="159">
        <v>1.0243749936421713E-2</v>
      </c>
      <c r="D54" s="159">
        <v>5.7437499364217121E-3</v>
      </c>
      <c r="E54" s="159">
        <v>-1.8562500635782883E-3</v>
      </c>
      <c r="F54" s="159">
        <v>8.2437499364217126E-3</v>
      </c>
      <c r="G54" s="159">
        <v>-1.9556250063578286E-2</v>
      </c>
      <c r="H54" s="159">
        <v>4.934374993642171E-2</v>
      </c>
      <c r="I54" s="159">
        <v>2.8043749936421714E-2</v>
      </c>
      <c r="J54" s="159">
        <v>-2.256250063578288E-3</v>
      </c>
      <c r="K54" s="159">
        <v>4.6643749936421716E-2</v>
      </c>
      <c r="L54" s="159">
        <v>-6.0799455972213815E-4</v>
      </c>
      <c r="M54" s="3">
        <v>35246</v>
      </c>
      <c r="O54" s="3">
        <v>35246</v>
      </c>
      <c r="P54" s="159">
        <f t="shared" ref="P54:Z54" si="17">SUM(B54:B56)</f>
        <v>5.5306249443689975E-2</v>
      </c>
      <c r="Q54" s="159">
        <f t="shared" si="17"/>
        <v>3.1206249443689986E-2</v>
      </c>
      <c r="R54" s="159">
        <f t="shared" si="17"/>
        <v>3.9706249443689987E-2</v>
      </c>
      <c r="S54" s="159">
        <f t="shared" si="17"/>
        <v>1.4106249443689982E-2</v>
      </c>
      <c r="T54" s="159">
        <f t="shared" si="17"/>
        <v>2.4306249443689983E-2</v>
      </c>
      <c r="U54" s="159">
        <f t="shared" si="17"/>
        <v>3.4806249443689978E-2</v>
      </c>
      <c r="V54" s="159">
        <f t="shared" si="17"/>
        <v>0.13670624944368998</v>
      </c>
      <c r="W54" s="159">
        <f t="shared" si="17"/>
        <v>6.9606249443689983E-2</v>
      </c>
      <c r="X54" s="159">
        <f t="shared" si="17"/>
        <v>7.0624944368997619E-4</v>
      </c>
      <c r="Y54" s="159">
        <f t="shared" si="17"/>
        <v>-2.7893750556310014E-2</v>
      </c>
      <c r="Z54" s="159">
        <f t="shared" si="17"/>
        <v>3.1254015827465897E-2</v>
      </c>
      <c r="AB54" s="3">
        <v>35246</v>
      </c>
      <c r="AC54" s="159">
        <v>-6.0799455972213815E-4</v>
      </c>
      <c r="AD54" s="159">
        <v>2.1439569013018564E-2</v>
      </c>
      <c r="AE54" s="159">
        <v>1.0422441374169469E-2</v>
      </c>
      <c r="AF54" s="159">
        <v>5.3412611229908804E-3</v>
      </c>
    </row>
    <row r="55" spans="1:32" ht="15" customHeight="1" x14ac:dyDescent="0.2">
      <c r="A55" s="3">
        <v>35216</v>
      </c>
      <c r="B55" s="159">
        <v>1.5116666285196942E-2</v>
      </c>
      <c r="C55" s="159">
        <v>1.1716666285196941E-2</v>
      </c>
      <c r="D55" s="159">
        <v>1.2416666285196941E-2</v>
      </c>
      <c r="E55" s="159">
        <v>7.2166662851969408E-3</v>
      </c>
      <c r="F55" s="159">
        <v>6.7166662851969403E-3</v>
      </c>
      <c r="G55" s="159">
        <v>1.7116666285196938E-2</v>
      </c>
      <c r="H55" s="159">
        <v>4.091666628519694E-2</v>
      </c>
      <c r="I55" s="159">
        <v>1.571666628519694E-2</v>
      </c>
      <c r="J55" s="159">
        <v>-2.4083333714803062E-2</v>
      </c>
      <c r="K55" s="159">
        <v>-3.98333371480306E-3</v>
      </c>
      <c r="L55" s="159">
        <v>2.1439569013018564E-2</v>
      </c>
      <c r="M55" s="3">
        <v>35216</v>
      </c>
      <c r="O55" s="3">
        <v>35216</v>
      </c>
      <c r="AB55" s="3">
        <v>35216</v>
      </c>
      <c r="AC55" s="159">
        <v>2.1439569013018564E-2</v>
      </c>
      <c r="AD55" s="159">
        <v>1.0422441374169469E-2</v>
      </c>
      <c r="AE55" s="159">
        <v>5.3412611229908804E-3</v>
      </c>
      <c r="AF55" s="159">
        <v>5.0481453500822952E-3</v>
      </c>
    </row>
    <row r="56" spans="1:32" ht="15" customHeight="1" x14ac:dyDescent="0.2">
      <c r="A56" s="3">
        <v>35185</v>
      </c>
      <c r="B56" s="159">
        <v>2.7045833222071328E-2</v>
      </c>
      <c r="C56" s="159">
        <v>9.2458332220713303E-3</v>
      </c>
      <c r="D56" s="159">
        <v>2.154583322207133E-2</v>
      </c>
      <c r="E56" s="159">
        <v>8.7458332220713298E-3</v>
      </c>
      <c r="F56" s="159">
        <v>9.3458332220713296E-3</v>
      </c>
      <c r="G56" s="159">
        <v>3.7245833222071326E-2</v>
      </c>
      <c r="H56" s="159">
        <v>4.6445833222071325E-2</v>
      </c>
      <c r="I56" s="159">
        <v>2.5845833222071329E-2</v>
      </c>
      <c r="J56" s="159">
        <v>2.7045833222071328E-2</v>
      </c>
      <c r="K56" s="159">
        <v>-7.0554166777928667E-2</v>
      </c>
      <c r="L56" s="159">
        <v>1.0422441374169469E-2</v>
      </c>
      <c r="M56" s="3">
        <v>35185</v>
      </c>
      <c r="O56" s="3">
        <v>35185</v>
      </c>
      <c r="AB56" s="3">
        <v>35185</v>
      </c>
      <c r="AC56" s="159">
        <v>1.0422441374169469E-2</v>
      </c>
      <c r="AD56" s="159">
        <v>5.3412611229908804E-3</v>
      </c>
      <c r="AE56" s="159">
        <v>5.0481453500822952E-3</v>
      </c>
      <c r="AF56" s="159">
        <v>2.968607386046343E-2</v>
      </c>
    </row>
    <row r="57" spans="1:32" ht="15" customHeight="1" x14ac:dyDescent="0.2">
      <c r="A57" s="3">
        <v>35155</v>
      </c>
      <c r="B57" s="159">
        <v>6.4816667397816973E-3</v>
      </c>
      <c r="C57" s="159">
        <v>1.0881666739781696E-2</v>
      </c>
      <c r="D57" s="159">
        <v>8.0816667397816989E-3</v>
      </c>
      <c r="E57" s="159">
        <v>1.2381666739781697E-2</v>
      </c>
      <c r="F57" s="159">
        <v>3.5816667397816975E-3</v>
      </c>
      <c r="G57" s="159">
        <v>7.9816667397816961E-3</v>
      </c>
      <c r="H57" s="159">
        <v>-1.3418333260218303E-2</v>
      </c>
      <c r="I57" s="159">
        <v>8.0816667397816989E-3</v>
      </c>
      <c r="J57" s="159">
        <v>-3.0183332602183024E-3</v>
      </c>
      <c r="K57" s="159">
        <v>-1.2818333260218303E-2</v>
      </c>
      <c r="L57" s="159">
        <v>5.3412611229908804E-3</v>
      </c>
      <c r="M57" s="3">
        <v>35155</v>
      </c>
      <c r="O57" s="3">
        <v>35155</v>
      </c>
      <c r="P57" s="159">
        <f t="shared" ref="P57:Z57" si="18">SUM(B57:B59)</f>
        <v>3.2042083168029777E-2</v>
      </c>
      <c r="Q57" s="159">
        <f t="shared" si="18"/>
        <v>3.5142083168029789E-2</v>
      </c>
      <c r="R57" s="159">
        <f t="shared" si="18"/>
        <v>4.0542083168029791E-2</v>
      </c>
      <c r="S57" s="159">
        <f t="shared" si="18"/>
        <v>4.1042083168029792E-2</v>
      </c>
      <c r="T57" s="159">
        <f t="shared" si="18"/>
        <v>2.0242083168029786E-2</v>
      </c>
      <c r="U57" s="159">
        <f t="shared" si="18"/>
        <v>3.2942083168029782E-2</v>
      </c>
      <c r="V57" s="159">
        <f t="shared" si="18"/>
        <v>5.1242083168029778E-2</v>
      </c>
      <c r="W57" s="159">
        <f t="shared" si="18"/>
        <v>3.3742083168029777E-2</v>
      </c>
      <c r="X57" s="159">
        <f t="shared" si="18"/>
        <v>-2.8057916831970214E-2</v>
      </c>
      <c r="Y57" s="159">
        <f t="shared" si="18"/>
        <v>-7.1157916831970217E-2</v>
      </c>
      <c r="Z57" s="159">
        <f t="shared" si="18"/>
        <v>4.0075480333536605E-2</v>
      </c>
      <c r="AB57" s="3">
        <v>35155</v>
      </c>
      <c r="AC57" s="159">
        <v>5.3412611229908804E-3</v>
      </c>
      <c r="AD57" s="159">
        <v>5.0481453500822952E-3</v>
      </c>
      <c r="AE57" s="159">
        <v>2.968607386046343E-2</v>
      </c>
      <c r="AF57" s="159">
        <v>1.476700058411938E-2</v>
      </c>
    </row>
    <row r="58" spans="1:32" ht="15" customHeight="1" x14ac:dyDescent="0.2">
      <c r="A58" s="3">
        <v>35124</v>
      </c>
      <c r="B58" s="159">
        <v>-3.9956250254313153E-2</v>
      </c>
      <c r="C58" s="159">
        <v>7.7437497456868485E-3</v>
      </c>
      <c r="D58" s="159">
        <v>1.7437497456868484E-3</v>
      </c>
      <c r="E58" s="159">
        <v>1.184374974568685E-2</v>
      </c>
      <c r="F58" s="159">
        <v>6.5437497456868488E-3</v>
      </c>
      <c r="G58" s="159">
        <v>9.4437497456868486E-3</v>
      </c>
      <c r="H58" s="159">
        <v>-9.7562502543131514E-3</v>
      </c>
      <c r="I58" s="159">
        <v>-7.475625025431315E-2</v>
      </c>
      <c r="J58" s="159">
        <v>-4.905625025431315E-2</v>
      </c>
      <c r="K58" s="159">
        <v>-6.045625025431315E-2</v>
      </c>
      <c r="L58" s="159">
        <v>5.0481453500822952E-3</v>
      </c>
      <c r="M58" s="3">
        <v>35124</v>
      </c>
      <c r="O58" s="3">
        <v>35124</v>
      </c>
      <c r="AB58" s="3">
        <v>35124</v>
      </c>
      <c r="AC58" s="159">
        <v>5.0481453500822952E-3</v>
      </c>
      <c r="AD58" s="159">
        <v>2.968607386046343E-2</v>
      </c>
      <c r="AE58" s="159">
        <v>1.476700058411938E-2</v>
      </c>
      <c r="AF58" s="159">
        <v>3.9269510903024836E-2</v>
      </c>
    </row>
    <row r="59" spans="1:32" ht="15" customHeight="1" x14ac:dyDescent="0.2">
      <c r="A59" s="3">
        <v>35095</v>
      </c>
      <c r="B59" s="159">
        <v>6.5516666682561231E-2</v>
      </c>
      <c r="C59" s="159">
        <v>1.6516666682561239E-2</v>
      </c>
      <c r="D59" s="159">
        <v>3.071666668256124E-2</v>
      </c>
      <c r="E59" s="159">
        <v>1.6816666682561241E-2</v>
      </c>
      <c r="F59" s="159">
        <v>1.011666668256124E-2</v>
      </c>
      <c r="G59" s="159">
        <v>1.5516666682561239E-2</v>
      </c>
      <c r="H59" s="159">
        <v>7.4416666682561236E-2</v>
      </c>
      <c r="I59" s="159">
        <v>0.10041666668256123</v>
      </c>
      <c r="J59" s="159">
        <v>2.4016666682561239E-2</v>
      </c>
      <c r="K59" s="159">
        <v>2.116666682561239E-3</v>
      </c>
      <c r="L59" s="159">
        <v>2.968607386046343E-2</v>
      </c>
      <c r="M59" s="3">
        <v>35095</v>
      </c>
      <c r="O59" s="3">
        <v>35095</v>
      </c>
      <c r="AB59" s="3">
        <v>35095</v>
      </c>
      <c r="AC59" s="159">
        <v>2.968607386046343E-2</v>
      </c>
      <c r="AD59" s="159">
        <v>1.476700058411938E-2</v>
      </c>
      <c r="AE59" s="159">
        <v>3.9269510903024836E-2</v>
      </c>
      <c r="AF59" s="159">
        <v>-8.1552311291944492E-3</v>
      </c>
    </row>
    <row r="60" spans="1:32" ht="15" customHeight="1" x14ac:dyDescent="0.2">
      <c r="A60" s="3">
        <v>35064</v>
      </c>
      <c r="B60" s="159">
        <v>2.6271666463216145E-2</v>
      </c>
      <c r="C60" s="159">
        <v>9.5716664632161455E-3</v>
      </c>
      <c r="D60" s="159">
        <v>1.7471666463216146E-2</v>
      </c>
      <c r="E60" s="159">
        <v>3.771666463216145E-3</v>
      </c>
      <c r="F60" s="159">
        <v>6.3716664632161449E-3</v>
      </c>
      <c r="G60" s="159">
        <v>1.6571666463216145E-2</v>
      </c>
      <c r="H60" s="159">
        <v>3.0716664632161458E-3</v>
      </c>
      <c r="I60" s="159">
        <v>3.6171666463216144E-2</v>
      </c>
      <c r="J60" s="159">
        <v>4.1571666463216146E-2</v>
      </c>
      <c r="K60" s="159">
        <v>4.5071666463216142E-2</v>
      </c>
      <c r="L60" s="159">
        <v>1.476700058411938E-2</v>
      </c>
      <c r="M60" s="3">
        <v>35064</v>
      </c>
      <c r="O60" s="3">
        <v>35064</v>
      </c>
      <c r="P60" s="159">
        <f t="shared" ref="P60:Z60" si="19">SUM(B60:B62)</f>
        <v>4.7694583400090529E-2</v>
      </c>
      <c r="Q60" s="159">
        <f t="shared" si="19"/>
        <v>3.6694583400090533E-2</v>
      </c>
      <c r="R60" s="159">
        <f t="shared" si="19"/>
        <v>1.7294583400090539E-2</v>
      </c>
      <c r="S60" s="159">
        <f t="shared" si="19"/>
        <v>5.9458340009053501E-4</v>
      </c>
      <c r="T60" s="159">
        <f t="shared" si="19"/>
        <v>2.5694583400090534E-2</v>
      </c>
      <c r="U60" s="159">
        <f t="shared" si="19"/>
        <v>1.2394583400090538E-2</v>
      </c>
      <c r="V60" s="159">
        <f t="shared" si="19"/>
        <v>-9.3705416599909469E-2</v>
      </c>
      <c r="W60" s="159">
        <f t="shared" si="19"/>
        <v>8.599458340009053E-2</v>
      </c>
      <c r="X60" s="159">
        <f t="shared" si="19"/>
        <v>1.9394583400090537E-2</v>
      </c>
      <c r="Y60" s="159">
        <f t="shared" si="19"/>
        <v>8.9994583400090533E-2</v>
      </c>
      <c r="Z60" s="159">
        <f t="shared" si="19"/>
        <v>4.5881280357949764E-2</v>
      </c>
      <c r="AB60" s="3">
        <v>35064</v>
      </c>
      <c r="AC60" s="159">
        <v>1.476700058411938E-2</v>
      </c>
      <c r="AD60" s="159">
        <v>3.9269510903024836E-2</v>
      </c>
      <c r="AE60" s="159">
        <v>-8.1552311291944492E-3</v>
      </c>
      <c r="AF60" s="159">
        <v>3.7640296440375198E-2</v>
      </c>
    </row>
    <row r="61" spans="1:32" ht="15" customHeight="1" x14ac:dyDescent="0.2">
      <c r="A61" s="3">
        <v>35033</v>
      </c>
      <c r="B61" s="159">
        <v>2.6937499984105426E-2</v>
      </c>
      <c r="C61" s="159">
        <v>1.8637499984105427E-2</v>
      </c>
      <c r="D61" s="159">
        <v>6.8374999841054277E-3</v>
      </c>
      <c r="E61" s="159">
        <v>-1.5625000158945718E-3</v>
      </c>
      <c r="F61" s="159">
        <v>1.2337499984105427E-2</v>
      </c>
      <c r="G61" s="159">
        <v>1.8437499984105429E-2</v>
      </c>
      <c r="H61" s="159">
        <v>-3.5762500015894573E-2</v>
      </c>
      <c r="I61" s="159">
        <v>4.4237499984105429E-2</v>
      </c>
      <c r="J61" s="159">
        <v>-7.1625000158945717E-3</v>
      </c>
      <c r="K61" s="159">
        <v>-1.4162500015894572E-2</v>
      </c>
      <c r="L61" s="159">
        <v>3.9269510903024836E-2</v>
      </c>
      <c r="M61" s="3">
        <v>35033</v>
      </c>
      <c r="O61" s="3">
        <v>35033</v>
      </c>
      <c r="AB61" s="3">
        <v>35033</v>
      </c>
      <c r="AC61" s="159">
        <v>3.9269510903024836E-2</v>
      </c>
      <c r="AD61" s="159">
        <v>-8.1552311291944492E-3</v>
      </c>
      <c r="AE61" s="159">
        <v>3.7640296440375198E-2</v>
      </c>
      <c r="AF61" s="159">
        <v>-2.1742767156198899E-3</v>
      </c>
    </row>
    <row r="62" spans="1:32" ht="15" customHeight="1" x14ac:dyDescent="0.2">
      <c r="A62" s="3">
        <v>35003</v>
      </c>
      <c r="B62" s="159">
        <v>-5.5145830472310385E-3</v>
      </c>
      <c r="C62" s="159">
        <v>8.4854169527689618E-3</v>
      </c>
      <c r="D62" s="159">
        <v>-7.0145830472310381E-3</v>
      </c>
      <c r="E62" s="159">
        <v>-1.6145830472310383E-3</v>
      </c>
      <c r="F62" s="159">
        <v>6.9854169527689622E-3</v>
      </c>
      <c r="G62" s="159">
        <v>-2.2614583047231039E-2</v>
      </c>
      <c r="H62" s="159">
        <v>-6.1014583047231036E-2</v>
      </c>
      <c r="I62" s="159">
        <v>5.585416952768962E-3</v>
      </c>
      <c r="J62" s="159">
        <v>-1.5014583047231038E-2</v>
      </c>
      <c r="K62" s="159">
        <v>5.9085416952768963E-2</v>
      </c>
      <c r="L62" s="159">
        <v>-8.1552311291944492E-3</v>
      </c>
      <c r="M62" s="3">
        <v>35003</v>
      </c>
      <c r="O62" s="3">
        <v>35003</v>
      </c>
      <c r="AB62" s="3">
        <v>35003</v>
      </c>
      <c r="AC62" s="159">
        <v>-8.1552311291944492E-3</v>
      </c>
      <c r="AD62" s="159">
        <v>3.7640296440375198E-2</v>
      </c>
      <c r="AE62" s="159">
        <v>-2.1742767156198899E-3</v>
      </c>
      <c r="AF62" s="159">
        <v>2.8442141041982654E-2</v>
      </c>
    </row>
    <row r="63" spans="1:32" ht="15" customHeight="1" x14ac:dyDescent="0.2">
      <c r="A63" s="3">
        <v>34972</v>
      </c>
      <c r="B63" s="159">
        <v>-5.9499974250793461E-4</v>
      </c>
      <c r="C63" s="159">
        <v>6.8050002574920653E-3</v>
      </c>
      <c r="D63" s="159">
        <v>1.4305000257492068E-2</v>
      </c>
      <c r="E63" s="159">
        <v>-1.0094999742507934E-2</v>
      </c>
      <c r="F63" s="159">
        <v>6.0050002574920649E-3</v>
      </c>
      <c r="G63" s="159">
        <v>6.7050002574920659E-3</v>
      </c>
      <c r="H63" s="159">
        <v>1.4405000257492067E-2</v>
      </c>
      <c r="I63" s="159">
        <v>-2.3949997425079346E-3</v>
      </c>
      <c r="J63" s="159">
        <v>-9.789499974250794E-2</v>
      </c>
      <c r="K63" s="159">
        <v>-3.3694999742507933E-2</v>
      </c>
      <c r="L63" s="159">
        <v>3.7640296440375198E-2</v>
      </c>
      <c r="M63" s="3">
        <v>34972</v>
      </c>
      <c r="O63" s="3">
        <v>34972</v>
      </c>
      <c r="P63" s="159">
        <f t="shared" ref="P63:Z63" si="20">SUM(B63:B65)</f>
        <v>7.7930000368754068E-2</v>
      </c>
      <c r="Q63" s="159">
        <f t="shared" si="20"/>
        <v>1.403000036875407E-2</v>
      </c>
      <c r="R63" s="159">
        <f t="shared" si="20"/>
        <v>4.3130000368754071E-2</v>
      </c>
      <c r="S63" s="159">
        <f t="shared" si="20"/>
        <v>-6.8699996312459304E-3</v>
      </c>
      <c r="T63" s="159">
        <f t="shared" si="20"/>
        <v>1.5830000368754066E-2</v>
      </c>
      <c r="U63" s="159">
        <f t="shared" si="20"/>
        <v>7.1730000368754071E-2</v>
      </c>
      <c r="V63" s="159">
        <f t="shared" si="20"/>
        <v>3.7330000368754071E-2</v>
      </c>
      <c r="W63" s="159">
        <f t="shared" si="20"/>
        <v>0.11693000036875406</v>
      </c>
      <c r="X63" s="159">
        <f t="shared" si="20"/>
        <v>-7.9669999631245936E-2</v>
      </c>
      <c r="Y63" s="159">
        <f t="shared" si="20"/>
        <v>-9.3969999631245929E-2</v>
      </c>
      <c r="Z63" s="159">
        <f t="shared" si="20"/>
        <v>6.3908160766737956E-2</v>
      </c>
      <c r="AB63" s="3">
        <v>34972</v>
      </c>
      <c r="AC63" s="159">
        <v>3.7640296440375198E-2</v>
      </c>
      <c r="AD63" s="159">
        <v>-2.1742767156198899E-3</v>
      </c>
      <c r="AE63" s="159">
        <v>2.8442141041982654E-2</v>
      </c>
      <c r="AF63" s="159">
        <v>1.8477378043311274E-2</v>
      </c>
    </row>
    <row r="64" spans="1:32" ht="15" customHeight="1" x14ac:dyDescent="0.2">
      <c r="A64" s="3">
        <v>34942</v>
      </c>
      <c r="B64" s="159">
        <v>5.5479166507720945E-2</v>
      </c>
      <c r="C64" s="159">
        <v>3.1791665077209475E-3</v>
      </c>
      <c r="D64" s="159">
        <v>1.0879166507720948E-2</v>
      </c>
      <c r="E64" s="159">
        <v>2.2791665077209469E-3</v>
      </c>
      <c r="F64" s="159">
        <v>3.1791665077209475E-3</v>
      </c>
      <c r="G64" s="159">
        <v>1.8079166507720946E-2</v>
      </c>
      <c r="H64" s="159">
        <v>5.2791665077209469E-3</v>
      </c>
      <c r="I64" s="159">
        <v>0.10147916650772094</v>
      </c>
      <c r="J64" s="159">
        <v>-7.7208334922790525E-3</v>
      </c>
      <c r="K64" s="159">
        <v>3.679166507720948E-3</v>
      </c>
      <c r="L64" s="159">
        <v>-2.1742767156198899E-3</v>
      </c>
      <c r="M64" s="3">
        <v>34942</v>
      </c>
      <c r="O64" s="3">
        <v>34942</v>
      </c>
      <c r="AB64" s="3">
        <v>34942</v>
      </c>
      <c r="AC64" s="159">
        <v>-2.1742767156198899E-3</v>
      </c>
      <c r="AD64" s="159">
        <v>2.8442141041982654E-2</v>
      </c>
      <c r="AE64" s="159">
        <v>1.8477378043311274E-2</v>
      </c>
      <c r="AF64" s="159">
        <v>3.5051781881870511E-2</v>
      </c>
    </row>
    <row r="65" spans="1:32" ht="15" customHeight="1" x14ac:dyDescent="0.2">
      <c r="A65" s="3">
        <v>34911</v>
      </c>
      <c r="B65" s="159">
        <v>2.3045833603541056E-2</v>
      </c>
      <c r="C65" s="159">
        <v>4.0458336035410561E-3</v>
      </c>
      <c r="D65" s="159">
        <v>1.7945833603541055E-2</v>
      </c>
      <c r="E65" s="159">
        <v>9.4583360354105576E-4</v>
      </c>
      <c r="F65" s="159">
        <v>6.645833603541056E-3</v>
      </c>
      <c r="G65" s="159">
        <v>4.6945833603541057E-2</v>
      </c>
      <c r="H65" s="159">
        <v>1.7645833603541057E-2</v>
      </c>
      <c r="I65" s="159">
        <v>1.7845833603541056E-2</v>
      </c>
      <c r="J65" s="159">
        <v>2.5945833603541055E-2</v>
      </c>
      <c r="K65" s="159">
        <v>-6.3954166396458942E-2</v>
      </c>
      <c r="L65" s="159">
        <v>2.8442141041982654E-2</v>
      </c>
      <c r="M65" s="3">
        <v>34911</v>
      </c>
      <c r="O65" s="3">
        <v>34911</v>
      </c>
      <c r="AB65" s="3">
        <v>34911</v>
      </c>
      <c r="AC65" s="159">
        <v>2.8442141041982654E-2</v>
      </c>
      <c r="AD65" s="159">
        <v>1.8477378043311274E-2</v>
      </c>
      <c r="AE65" s="159">
        <v>3.5051781881870511E-2</v>
      </c>
      <c r="AF65" s="159">
        <v>2.4554641994587272E-2</v>
      </c>
    </row>
    <row r="66" spans="1:32" ht="15" customHeight="1" x14ac:dyDescent="0.2">
      <c r="A66" s="3">
        <v>34880</v>
      </c>
      <c r="B66" s="159">
        <v>-8.8333373069763178E-4</v>
      </c>
      <c r="C66" s="159">
        <v>1.4416666269302367E-2</v>
      </c>
      <c r="D66" s="159">
        <v>8.4166662693023683E-3</v>
      </c>
      <c r="E66" s="159">
        <v>1.0616666269302369E-2</v>
      </c>
      <c r="F66" s="159">
        <v>6.1666626930236782E-4</v>
      </c>
      <c r="G66" s="159">
        <v>3.0516666269302366E-2</v>
      </c>
      <c r="H66" s="159">
        <v>3.2166662693023677E-3</v>
      </c>
      <c r="I66" s="159">
        <v>-1.1383333730697632E-2</v>
      </c>
      <c r="J66" s="159">
        <v>-6.1983333730697629E-2</v>
      </c>
      <c r="K66" s="159">
        <v>-7.3683333730697631E-2</v>
      </c>
      <c r="L66" s="159">
        <v>1.8477378043311274E-2</v>
      </c>
      <c r="M66" s="3">
        <v>34880</v>
      </c>
      <c r="O66" s="3">
        <v>34880</v>
      </c>
      <c r="P66" s="159">
        <f t="shared" ref="P66:Z66" si="21">SUM(B66:B68)</f>
        <v>1.4241666364669801E-2</v>
      </c>
      <c r="Q66" s="159">
        <f t="shared" si="21"/>
        <v>4.42416663646698E-2</v>
      </c>
      <c r="R66" s="159">
        <f t="shared" si="21"/>
        <v>3.1241666364669799E-2</v>
      </c>
      <c r="S66" s="159">
        <f t="shared" si="21"/>
        <v>2.7941666364669802E-2</v>
      </c>
      <c r="T66" s="159">
        <f t="shared" si="21"/>
        <v>3.1441666364669801E-2</v>
      </c>
      <c r="U66" s="159">
        <f t="shared" si="21"/>
        <v>5.4941666364669794E-2</v>
      </c>
      <c r="V66" s="159">
        <f t="shared" si="21"/>
        <v>7.9641666364669794E-2</v>
      </c>
      <c r="W66" s="159">
        <f t="shared" si="21"/>
        <v>-1.8583336353301984E-3</v>
      </c>
      <c r="X66" s="159">
        <f t="shared" si="21"/>
        <v>-0.1217583336353302</v>
      </c>
      <c r="Y66" s="159">
        <f t="shared" si="21"/>
        <v>-9.9358333635330198E-2</v>
      </c>
      <c r="Z66" s="159">
        <f t="shared" si="21"/>
        <v>7.8083801919769061E-2</v>
      </c>
      <c r="AB66" s="3">
        <v>34880</v>
      </c>
      <c r="AC66" s="159">
        <v>1.8477378043311274E-2</v>
      </c>
      <c r="AD66" s="159">
        <v>3.5051781881870511E-2</v>
      </c>
      <c r="AE66" s="159">
        <v>2.4554641994587272E-2</v>
      </c>
      <c r="AF66" s="159">
        <v>2.4563570510328703E-2</v>
      </c>
    </row>
    <row r="67" spans="1:32" ht="15" customHeight="1" x14ac:dyDescent="0.2">
      <c r="A67" s="3">
        <v>34850</v>
      </c>
      <c r="B67" s="159">
        <v>5.3500001589457192E-3</v>
      </c>
      <c r="C67" s="159">
        <v>1.1750000158945721E-2</v>
      </c>
      <c r="D67" s="159">
        <v>6.5500001589457188E-3</v>
      </c>
      <c r="E67" s="159">
        <v>-6.499998410542801E-4</v>
      </c>
      <c r="F67" s="159">
        <v>1.535000015894572E-2</v>
      </c>
      <c r="G67" s="159">
        <v>1.5550000158945719E-2</v>
      </c>
      <c r="H67" s="159">
        <v>8.6500001589457191E-3</v>
      </c>
      <c r="I67" s="159">
        <v>5.1500001589457204E-3</v>
      </c>
      <c r="J67" s="159">
        <v>-5.174999984105428E-2</v>
      </c>
      <c r="K67" s="159">
        <v>-1.724999984105428E-2</v>
      </c>
      <c r="L67" s="159">
        <v>3.5051781881870511E-2</v>
      </c>
      <c r="M67" s="3">
        <v>34850</v>
      </c>
      <c r="O67" s="3">
        <v>34850</v>
      </c>
      <c r="AB67" s="3">
        <v>34850</v>
      </c>
      <c r="AC67" s="159">
        <v>3.5051781881870511E-2</v>
      </c>
      <c r="AD67" s="159">
        <v>2.4554641994587272E-2</v>
      </c>
      <c r="AE67" s="159">
        <v>2.4563570510328703E-2</v>
      </c>
      <c r="AF67" s="159">
        <v>3.3975781898490875E-2</v>
      </c>
    </row>
    <row r="68" spans="1:32" ht="15" customHeight="1" x14ac:dyDescent="0.2">
      <c r="A68" s="3">
        <v>34819</v>
      </c>
      <c r="B68" s="159">
        <v>9.774999936421714E-3</v>
      </c>
      <c r="C68" s="159">
        <v>1.8074999936421712E-2</v>
      </c>
      <c r="D68" s="159">
        <v>1.6274999936421713E-2</v>
      </c>
      <c r="E68" s="159">
        <v>1.7974999936421713E-2</v>
      </c>
      <c r="F68" s="159">
        <v>1.5474999936421711E-2</v>
      </c>
      <c r="G68" s="159">
        <v>8.8749999364217125E-3</v>
      </c>
      <c r="H68" s="159">
        <v>6.7774999936421707E-2</v>
      </c>
      <c r="I68" s="159">
        <v>4.3749999364217128E-3</v>
      </c>
      <c r="J68" s="159">
        <v>-8.0250000635782876E-3</v>
      </c>
      <c r="K68" s="159">
        <v>-8.4250000635782869E-3</v>
      </c>
      <c r="L68" s="159">
        <v>2.4554641994587272E-2</v>
      </c>
      <c r="M68" s="3">
        <v>34819</v>
      </c>
      <c r="O68" s="3">
        <v>34819</v>
      </c>
      <c r="AB68" s="3">
        <v>34819</v>
      </c>
      <c r="AC68" s="159">
        <v>2.4554641994587272E-2</v>
      </c>
      <c r="AD68" s="159">
        <v>2.4563570510328703E-2</v>
      </c>
      <c r="AE68" s="159">
        <v>3.3975781898490875E-2</v>
      </c>
      <c r="AF68" s="159">
        <v>2.0929253841389779E-2</v>
      </c>
    </row>
    <row r="69" spans="1:32" ht="15" customHeight="1" x14ac:dyDescent="0.2">
      <c r="A69" s="3">
        <v>34789</v>
      </c>
      <c r="B69" s="159">
        <v>3.0023333438237505E-2</v>
      </c>
      <c r="C69" s="159">
        <v>8.4233334382375069E-3</v>
      </c>
      <c r="D69" s="159">
        <v>3.7233334382375085E-3</v>
      </c>
      <c r="E69" s="159">
        <v>2.4423333438237507E-2</v>
      </c>
      <c r="F69" s="159">
        <v>-9.1766665617624924E-3</v>
      </c>
      <c r="G69" s="159">
        <v>3.3233334382375074E-3</v>
      </c>
      <c r="H69" s="159">
        <v>-5.9876666561762493E-2</v>
      </c>
      <c r="I69" s="159">
        <v>5.4823333438237511E-2</v>
      </c>
      <c r="J69" s="159">
        <v>8.9823333438237507E-2</v>
      </c>
      <c r="K69" s="159">
        <v>-9.7666656176249216E-4</v>
      </c>
      <c r="L69" s="159">
        <v>2.4563570510328703E-2</v>
      </c>
      <c r="M69" s="3">
        <v>34789</v>
      </c>
      <c r="O69" s="3">
        <v>34789</v>
      </c>
      <c r="P69" s="159">
        <f t="shared" ref="P69:Z69" si="22">SUM(B69:B71)</f>
        <v>5.1566664536794003E-3</v>
      </c>
      <c r="Q69" s="159">
        <f t="shared" si="22"/>
        <v>4.3566664536794017E-3</v>
      </c>
      <c r="R69" s="159">
        <f t="shared" si="22"/>
        <v>2.3256666453679402E-2</v>
      </c>
      <c r="S69" s="159">
        <f t="shared" si="22"/>
        <v>2.8856666453679403E-2</v>
      </c>
      <c r="T69" s="159">
        <f t="shared" si="22"/>
        <v>-9.6433335463205969E-3</v>
      </c>
      <c r="U69" s="159">
        <f t="shared" si="22"/>
        <v>1.66566664536794E-2</v>
      </c>
      <c r="V69" s="159">
        <f t="shared" si="22"/>
        <v>-0.24814333354632059</v>
      </c>
      <c r="W69" s="159">
        <f t="shared" si="22"/>
        <v>2.1156666453679408E-2</v>
      </c>
      <c r="X69" s="159">
        <f t="shared" si="22"/>
        <v>6.6656666453679389E-2</v>
      </c>
      <c r="Y69" s="159">
        <f t="shared" si="22"/>
        <v>-1.9943333546320597E-2</v>
      </c>
      <c r="Z69" s="159">
        <f t="shared" si="22"/>
        <v>7.946860625020935E-2</v>
      </c>
      <c r="AB69" s="3">
        <v>34789</v>
      </c>
      <c r="AC69" s="159">
        <v>2.4563570510328703E-2</v>
      </c>
      <c r="AD69" s="159">
        <v>3.3975781898490875E-2</v>
      </c>
      <c r="AE69" s="159">
        <v>2.0929253841389779E-2</v>
      </c>
      <c r="AF69" s="159">
        <v>9.9703494850877095E-3</v>
      </c>
    </row>
    <row r="70" spans="1:32" ht="15" customHeight="1" x14ac:dyDescent="0.2">
      <c r="A70" s="3">
        <v>34758</v>
      </c>
      <c r="B70" s="159">
        <v>-3.2916673024495444E-4</v>
      </c>
      <c r="C70" s="159">
        <v>6.9708332697550456E-3</v>
      </c>
      <c r="D70" s="159">
        <v>1.9270833269755046E-2</v>
      </c>
      <c r="E70" s="159">
        <v>4.5708332697550463E-3</v>
      </c>
      <c r="F70" s="159">
        <v>1.6708332697550456E-3</v>
      </c>
      <c r="G70" s="159">
        <v>2.5570833269755046E-2</v>
      </c>
      <c r="H70" s="159">
        <v>-8.3629166730244953E-2</v>
      </c>
      <c r="I70" s="159">
        <v>-4.129166730244954E-3</v>
      </c>
      <c r="J70" s="159">
        <v>-1.7529166730244954E-2</v>
      </c>
      <c r="K70" s="159">
        <v>-2.7229166730244954E-2</v>
      </c>
      <c r="L70" s="159">
        <v>3.3975781898490875E-2</v>
      </c>
      <c r="M70" s="3">
        <v>34758</v>
      </c>
      <c r="O70" s="3">
        <v>34758</v>
      </c>
      <c r="AB70" s="3">
        <v>34758</v>
      </c>
      <c r="AC70" s="159">
        <v>3.3975781898490875E-2</v>
      </c>
      <c r="AD70" s="159">
        <v>2.0929253841389779E-2</v>
      </c>
      <c r="AE70" s="159">
        <v>9.9703494850877095E-3</v>
      </c>
      <c r="AF70" s="159">
        <v>-4.096275974820919E-2</v>
      </c>
    </row>
    <row r="71" spans="1:32" ht="15" customHeight="1" x14ac:dyDescent="0.2">
      <c r="A71" s="3">
        <v>34730</v>
      </c>
      <c r="B71" s="159">
        <v>-2.4537500254313151E-2</v>
      </c>
      <c r="C71" s="159">
        <v>-1.1037500254313151E-2</v>
      </c>
      <c r="D71" s="159">
        <v>2.6249974568684931E-4</v>
      </c>
      <c r="E71" s="159">
        <v>-1.3750025431315087E-4</v>
      </c>
      <c r="F71" s="159">
        <v>-2.1375002543131509E-3</v>
      </c>
      <c r="G71" s="159">
        <v>-1.2237500254313152E-2</v>
      </c>
      <c r="H71" s="159">
        <v>-0.10463750025431315</v>
      </c>
      <c r="I71" s="159">
        <v>-2.9537500254313152E-2</v>
      </c>
      <c r="J71" s="159">
        <v>-5.6375002543131514E-3</v>
      </c>
      <c r="K71" s="159">
        <v>8.2624997456868486E-3</v>
      </c>
      <c r="L71" s="159">
        <v>2.0929253841389779E-2</v>
      </c>
      <c r="M71" s="3">
        <v>34730</v>
      </c>
      <c r="O71" s="3">
        <v>34730</v>
      </c>
      <c r="AB71" s="3">
        <v>34730</v>
      </c>
      <c r="AC71" s="159">
        <v>2.0929253841389779E-2</v>
      </c>
      <c r="AD71" s="159">
        <v>9.9703494850877095E-3</v>
      </c>
      <c r="AE71" s="159">
        <v>-4.096275974820919E-2</v>
      </c>
      <c r="AF71" s="159">
        <v>1.8168412511516539E-2</v>
      </c>
    </row>
    <row r="72" spans="1:32" ht="15" customHeight="1" x14ac:dyDescent="0.2">
      <c r="A72" s="3">
        <v>34699</v>
      </c>
      <c r="B72" s="159">
        <v>-6.7966667970021568E-3</v>
      </c>
      <c r="C72" s="159">
        <v>-2.3896666797002156E-2</v>
      </c>
      <c r="D72" s="159">
        <v>-1.2496666797002155E-2</v>
      </c>
      <c r="E72" s="159">
        <v>8.0033332029978421E-3</v>
      </c>
      <c r="F72" s="159">
        <v>1.0033332029978437E-3</v>
      </c>
      <c r="G72" s="159">
        <v>-8.196666797002157E-3</v>
      </c>
      <c r="H72" s="159">
        <v>-4.6796666797002152E-2</v>
      </c>
      <c r="I72" s="159">
        <v>3.0333320299784361E-4</v>
      </c>
      <c r="J72" s="159">
        <v>-2.3596666797002157E-2</v>
      </c>
      <c r="K72" s="159">
        <v>-6.5966667970021563E-3</v>
      </c>
      <c r="L72" s="159">
        <v>9.9703494850877095E-3</v>
      </c>
      <c r="M72" s="3">
        <v>34699</v>
      </c>
      <c r="O72" s="3">
        <v>34699</v>
      </c>
      <c r="P72" s="159">
        <f t="shared" ref="P72:Z72" si="23">SUM(B72:B74)</f>
        <v>-2.4705000162124631E-2</v>
      </c>
      <c r="Q72" s="159">
        <f t="shared" si="23"/>
        <v>-4.7705000162124631E-2</v>
      </c>
      <c r="R72" s="159">
        <f t="shared" si="23"/>
        <v>-3.8905000162124635E-2</v>
      </c>
      <c r="S72" s="159">
        <f t="shared" si="23"/>
        <v>-7.2050001621246345E-3</v>
      </c>
      <c r="T72" s="159">
        <f t="shared" si="23"/>
        <v>8.2949998378753671E-3</v>
      </c>
      <c r="U72" s="159">
        <f t="shared" si="23"/>
        <v>-4.2505000162124634E-2</v>
      </c>
      <c r="V72" s="159">
        <f t="shared" si="23"/>
        <v>-0.10460500016212462</v>
      </c>
      <c r="W72" s="159">
        <f t="shared" si="23"/>
        <v>-9.5050001621246362E-3</v>
      </c>
      <c r="X72" s="159">
        <f t="shared" si="23"/>
        <v>-3.8050001621246334E-3</v>
      </c>
      <c r="Y72" s="159">
        <f t="shared" si="23"/>
        <v>1.1094999837875368E-2</v>
      </c>
      <c r="Z72" s="159">
        <f t="shared" si="23"/>
        <v>-1.2823997751604942E-2</v>
      </c>
      <c r="AB72" s="3">
        <v>34699</v>
      </c>
      <c r="AC72" s="159">
        <v>9.9703494850877095E-3</v>
      </c>
      <c r="AD72" s="159">
        <v>-4.096275974820919E-2</v>
      </c>
      <c r="AE72" s="159">
        <v>1.8168412511516539E-2</v>
      </c>
      <c r="AF72" s="159">
        <v>-2.848659574864669E-2</v>
      </c>
    </row>
    <row r="73" spans="1:32" ht="15" customHeight="1" x14ac:dyDescent="0.2">
      <c r="A73" s="3">
        <v>34668</v>
      </c>
      <c r="B73" s="159">
        <v>-2.7708338101704866E-4</v>
      </c>
      <c r="C73" s="159">
        <v>-6.0770833810170491E-3</v>
      </c>
      <c r="D73" s="159">
        <v>-1.497708338101705E-2</v>
      </c>
      <c r="E73" s="159">
        <v>-7.3770833810170491E-3</v>
      </c>
      <c r="F73" s="159">
        <v>2.5229166189829509E-3</v>
      </c>
      <c r="G73" s="159">
        <v>-3.2877083381017053E-2</v>
      </c>
      <c r="H73" s="159">
        <v>-1.8577083381017049E-2</v>
      </c>
      <c r="I73" s="159">
        <v>1.652291661898295E-2</v>
      </c>
      <c r="J73" s="159">
        <v>1.2122916618982953E-2</v>
      </c>
      <c r="K73" s="159">
        <v>2.5922916618982952E-2</v>
      </c>
      <c r="L73" s="159">
        <v>-4.096275974820919E-2</v>
      </c>
      <c r="M73" s="3">
        <v>34668</v>
      </c>
      <c r="O73" s="3">
        <v>34668</v>
      </c>
      <c r="AB73" s="3">
        <v>34668</v>
      </c>
      <c r="AC73" s="159">
        <v>-4.096275974820919E-2</v>
      </c>
      <c r="AD73" s="159">
        <v>1.8168412511516539E-2</v>
      </c>
      <c r="AE73" s="159">
        <v>-2.848659574864669E-2</v>
      </c>
      <c r="AF73" s="159">
        <v>3.7084954618551789E-2</v>
      </c>
    </row>
    <row r="74" spans="1:32" ht="15" customHeight="1" x14ac:dyDescent="0.2">
      <c r="A74" s="3">
        <v>34638</v>
      </c>
      <c r="B74" s="159">
        <v>-1.7631249984105427E-2</v>
      </c>
      <c r="C74" s="159">
        <v>-1.7731249984105427E-2</v>
      </c>
      <c r="D74" s="159">
        <v>-1.1431249984105428E-2</v>
      </c>
      <c r="E74" s="159">
        <v>-7.8312499841054276E-3</v>
      </c>
      <c r="F74" s="159">
        <v>4.7687500158945717E-3</v>
      </c>
      <c r="G74" s="159">
        <v>-1.4312499841054281E-3</v>
      </c>
      <c r="H74" s="159">
        <v>-3.9231249984105425E-2</v>
      </c>
      <c r="I74" s="159">
        <v>-2.633124998410543E-2</v>
      </c>
      <c r="J74" s="159">
        <v>7.6687500158945715E-3</v>
      </c>
      <c r="K74" s="159">
        <v>-8.2312499841054286E-3</v>
      </c>
      <c r="L74" s="159">
        <v>1.8168412511516539E-2</v>
      </c>
      <c r="M74" s="3">
        <v>34638</v>
      </c>
      <c r="O74" s="3">
        <v>34638</v>
      </c>
      <c r="AB74" s="3">
        <v>34638</v>
      </c>
      <c r="AC74" s="159">
        <v>1.8168412511516539E-2</v>
      </c>
      <c r="AD74" s="159">
        <v>-2.848659574864669E-2</v>
      </c>
      <c r="AE74" s="159">
        <v>3.7084954618551789E-2</v>
      </c>
      <c r="AF74" s="159">
        <v>2.9045209227989765E-2</v>
      </c>
    </row>
    <row r="75" spans="1:32" ht="15" customHeight="1" x14ac:dyDescent="0.2">
      <c r="A75" s="3">
        <v>34607</v>
      </c>
      <c r="B75" s="159">
        <v>2.8333330472310385E-3</v>
      </c>
      <c r="C75" s="159">
        <v>-1.5766666952768963E-2</v>
      </c>
      <c r="D75" s="159">
        <v>3.633333047231038E-3</v>
      </c>
      <c r="E75" s="159">
        <v>-1.3266666952768963E-2</v>
      </c>
      <c r="F75" s="159">
        <v>3.1333330472310384E-3</v>
      </c>
      <c r="G75" s="159">
        <v>-1.3666669527689617E-3</v>
      </c>
      <c r="H75" s="159">
        <v>4.8133333047231039E-2</v>
      </c>
      <c r="I75" s="159">
        <v>-1.3666669527689617E-3</v>
      </c>
      <c r="J75" s="159">
        <v>1.6433333047231036E-2</v>
      </c>
      <c r="K75" s="159">
        <v>1.1933333047231039E-2</v>
      </c>
      <c r="L75" s="159">
        <v>-2.848659574864669E-2</v>
      </c>
      <c r="M75" s="3">
        <v>34607</v>
      </c>
      <c r="O75" s="3">
        <v>34607</v>
      </c>
      <c r="P75" s="159">
        <f t="shared" ref="P75:Z75" si="24">SUM(B75:B77)</f>
        <v>2.6660416507720944E-2</v>
      </c>
      <c r="Q75" s="159">
        <f t="shared" si="24"/>
        <v>-2.2139583492279055E-2</v>
      </c>
      <c r="R75" s="159">
        <f t="shared" si="24"/>
        <v>9.8604165077209472E-3</v>
      </c>
      <c r="S75" s="159">
        <f t="shared" si="24"/>
        <v>-4.0539583492279055E-2</v>
      </c>
      <c r="T75" s="159">
        <f t="shared" si="24"/>
        <v>-6.9395834922790535E-3</v>
      </c>
      <c r="U75" s="159">
        <f t="shared" si="24"/>
        <v>2.0560416507720947E-2</v>
      </c>
      <c r="V75" s="159">
        <f t="shared" si="24"/>
        <v>0.263060416507721</v>
      </c>
      <c r="W75" s="159">
        <f t="shared" si="24"/>
        <v>1.5260416507720947E-2</v>
      </c>
      <c r="X75" s="159">
        <f t="shared" si="24"/>
        <v>-3.7395834922790555E-3</v>
      </c>
      <c r="Y75" s="159">
        <f t="shared" si="24"/>
        <v>-6.3839583492279042E-2</v>
      </c>
      <c r="Z75" s="159">
        <f t="shared" si="24"/>
        <v>3.7643568097894861E-2</v>
      </c>
      <c r="AB75" s="3">
        <v>34607</v>
      </c>
      <c r="AC75" s="159">
        <v>-2.848659574864669E-2</v>
      </c>
      <c r="AD75" s="159">
        <v>3.7084954618551789E-2</v>
      </c>
      <c r="AE75" s="159">
        <v>2.9045209227989765E-2</v>
      </c>
      <c r="AF75" s="159">
        <v>-2.8161772402484124E-2</v>
      </c>
    </row>
    <row r="76" spans="1:32" ht="15" customHeight="1" x14ac:dyDescent="0.2">
      <c r="A76" s="3">
        <v>34577</v>
      </c>
      <c r="B76" s="159">
        <v>2.3952083381017047E-2</v>
      </c>
      <c r="C76" s="159">
        <v>-4.1479166189829506E-3</v>
      </c>
      <c r="D76" s="159">
        <v>4.4520833810170503E-3</v>
      </c>
      <c r="E76" s="159">
        <v>-1.3647916618982951E-2</v>
      </c>
      <c r="F76" s="159">
        <v>-4.647916618982951E-3</v>
      </c>
      <c r="G76" s="159">
        <v>1.2652083381017051E-2</v>
      </c>
      <c r="H76" s="159">
        <v>0.16045208338101707</v>
      </c>
      <c r="I76" s="159">
        <v>2.3752083381017048E-2</v>
      </c>
      <c r="J76" s="159">
        <v>-6.4479166189829514E-3</v>
      </c>
      <c r="K76" s="159">
        <v>-6.034791661898295E-2</v>
      </c>
      <c r="L76" s="159">
        <v>3.7084954618551789E-2</v>
      </c>
      <c r="M76" s="3">
        <v>34577</v>
      </c>
      <c r="O76" s="3">
        <v>34577</v>
      </c>
      <c r="AB76" s="3">
        <v>34577</v>
      </c>
      <c r="AC76" s="159">
        <v>3.7084954618551789E-2</v>
      </c>
      <c r="AD76" s="159">
        <v>2.9045209227989765E-2</v>
      </c>
      <c r="AE76" s="159">
        <v>-2.8161772402484124E-2</v>
      </c>
      <c r="AF76" s="159">
        <v>1.2750258701796519E-2</v>
      </c>
    </row>
    <row r="77" spans="1:32" ht="15" customHeight="1" x14ac:dyDescent="0.2">
      <c r="A77" s="3">
        <v>34546</v>
      </c>
      <c r="B77" s="159">
        <v>-1.2499992052714039E-4</v>
      </c>
      <c r="C77" s="159">
        <v>-2.2249999205271407E-3</v>
      </c>
      <c r="D77" s="159">
        <v>1.7750000794728598E-3</v>
      </c>
      <c r="E77" s="159">
        <v>-1.3624999920527141E-2</v>
      </c>
      <c r="F77" s="159">
        <v>-5.4249999205271404E-3</v>
      </c>
      <c r="G77" s="159">
        <v>9.2750000794728591E-3</v>
      </c>
      <c r="H77" s="159">
        <v>5.4475000079472861E-2</v>
      </c>
      <c r="I77" s="159">
        <v>-7.1249999205271405E-3</v>
      </c>
      <c r="J77" s="159">
        <v>-1.3724999920527141E-2</v>
      </c>
      <c r="K77" s="159">
        <v>-1.5424999920527141E-2</v>
      </c>
      <c r="L77" s="159">
        <v>2.9045209227989765E-2</v>
      </c>
      <c r="M77" s="3">
        <v>34546</v>
      </c>
      <c r="O77" s="3">
        <v>34546</v>
      </c>
      <c r="AB77" s="3">
        <v>34546</v>
      </c>
      <c r="AC77" s="159">
        <v>2.9045209227989765E-2</v>
      </c>
      <c r="AD77" s="159">
        <v>-2.8161772402484124E-2</v>
      </c>
      <c r="AE77" s="159">
        <v>1.2750258701796519E-2</v>
      </c>
      <c r="AF77" s="159">
        <v>9.5818011464903815E-3</v>
      </c>
    </row>
    <row r="78" spans="1:32" ht="15" customHeight="1" x14ac:dyDescent="0.2">
      <c r="A78" s="3">
        <v>34515</v>
      </c>
      <c r="B78" s="159">
        <v>-1.1583333190282185E-2</v>
      </c>
      <c r="C78" s="159">
        <v>-1.3833331902821859E-3</v>
      </c>
      <c r="D78" s="159">
        <v>-4.7833331902821857E-3</v>
      </c>
      <c r="E78" s="159">
        <v>3.5166668097178144E-3</v>
      </c>
      <c r="F78" s="159">
        <v>-7.4833331902821858E-3</v>
      </c>
      <c r="G78" s="159">
        <v>-2.6583333190282186E-2</v>
      </c>
      <c r="H78" s="159">
        <v>1.2166668097178144E-3</v>
      </c>
      <c r="I78" s="159">
        <v>-1.2683333190282186E-2</v>
      </c>
      <c r="J78" s="159">
        <v>3.8016666809717818E-2</v>
      </c>
      <c r="K78" s="159">
        <v>6.0016666809717817E-2</v>
      </c>
      <c r="L78" s="159">
        <v>-2.8161772402484124E-2</v>
      </c>
      <c r="M78" s="3">
        <v>34515</v>
      </c>
      <c r="O78" s="3">
        <v>34515</v>
      </c>
      <c r="P78" s="159">
        <f t="shared" ref="P78:Z78" si="25">SUM(B78:B80)</f>
        <v>-1.3252082935969032E-2</v>
      </c>
      <c r="Q78" s="159">
        <f t="shared" si="25"/>
        <v>-4.3352082935969039E-2</v>
      </c>
      <c r="R78" s="159">
        <f t="shared" si="25"/>
        <v>-1.9452082935969034E-2</v>
      </c>
      <c r="S78" s="159">
        <f t="shared" si="25"/>
        <v>-1.6520829359690345E-3</v>
      </c>
      <c r="T78" s="159">
        <f t="shared" si="25"/>
        <v>-8.1520829359690346E-3</v>
      </c>
      <c r="U78" s="159">
        <f t="shared" si="25"/>
        <v>-4.305208293596903E-2</v>
      </c>
      <c r="V78" s="159">
        <f t="shared" si="25"/>
        <v>-9.6252082935969027E-2</v>
      </c>
      <c r="W78" s="159">
        <f t="shared" si="25"/>
        <v>2.8479170640309664E-3</v>
      </c>
      <c r="X78" s="159">
        <f t="shared" si="25"/>
        <v>4.7647917064030973E-2</v>
      </c>
      <c r="Y78" s="159">
        <f t="shared" si="25"/>
        <v>8.8747917064030971E-2</v>
      </c>
      <c r="Z78" s="159">
        <f t="shared" si="25"/>
        <v>-5.8297125541972236E-3</v>
      </c>
      <c r="AB78" s="3">
        <v>34515</v>
      </c>
      <c r="AC78" s="159">
        <v>-2.8161772402484124E-2</v>
      </c>
      <c r="AD78" s="159">
        <v>1.2750258701796519E-2</v>
      </c>
      <c r="AE78" s="159">
        <v>9.5818011464903815E-3</v>
      </c>
      <c r="AF78" s="159">
        <v>-4.6701397347372664E-2</v>
      </c>
    </row>
    <row r="79" spans="1:32" ht="15" customHeight="1" x14ac:dyDescent="0.2">
      <c r="A79" s="3">
        <v>34485</v>
      </c>
      <c r="B79" s="159">
        <v>1.8806250301996869E-2</v>
      </c>
      <c r="C79" s="159">
        <v>-1.3693749698003134E-2</v>
      </c>
      <c r="D79" s="159">
        <v>-4.9937496980031332E-3</v>
      </c>
      <c r="E79" s="159">
        <v>-4.593749698003133E-3</v>
      </c>
      <c r="F79" s="159">
        <v>4.4062503019968672E-3</v>
      </c>
      <c r="G79" s="159">
        <v>2.2062503019968671E-3</v>
      </c>
      <c r="H79" s="159">
        <v>-1.0793749698003133E-2</v>
      </c>
      <c r="I79" s="159">
        <v>3.4506250301996867E-2</v>
      </c>
      <c r="J79" s="159">
        <v>4.1062503019968673E-3</v>
      </c>
      <c r="K79" s="159">
        <v>1.9006250301996867E-2</v>
      </c>
      <c r="L79" s="159">
        <v>1.2750258701796519E-2</v>
      </c>
      <c r="M79" s="3">
        <v>34485</v>
      </c>
      <c r="O79" s="3">
        <v>34485</v>
      </c>
      <c r="AB79" s="3">
        <v>34485</v>
      </c>
      <c r="AC79" s="159">
        <v>1.2750258701796519E-2</v>
      </c>
      <c r="AD79" s="159">
        <v>9.5818011464903815E-3</v>
      </c>
      <c r="AE79" s="159">
        <v>-4.6701397347372664E-2</v>
      </c>
      <c r="AF79" s="159">
        <v>-2.9982916598459138E-2</v>
      </c>
    </row>
    <row r="80" spans="1:32" ht="15" customHeight="1" x14ac:dyDescent="0.2">
      <c r="A80" s="3">
        <v>34454</v>
      </c>
      <c r="B80" s="159">
        <v>-2.0475000047683715E-2</v>
      </c>
      <c r="C80" s="159">
        <v>-2.8275000047683716E-2</v>
      </c>
      <c r="D80" s="159">
        <v>-9.6750000476837159E-3</v>
      </c>
      <c r="E80" s="159">
        <v>-5.7500004768371591E-4</v>
      </c>
      <c r="F80" s="159">
        <v>-5.075000047683716E-3</v>
      </c>
      <c r="G80" s="159">
        <v>-1.8675000047683715E-2</v>
      </c>
      <c r="H80" s="159">
        <v>-8.6675000047683706E-2</v>
      </c>
      <c r="I80" s="159">
        <v>-1.8975000047683717E-2</v>
      </c>
      <c r="J80" s="159">
        <v>5.524999952316284E-3</v>
      </c>
      <c r="K80" s="159">
        <v>9.7249999523162847E-3</v>
      </c>
      <c r="L80" s="159">
        <v>9.5818011464903815E-3</v>
      </c>
      <c r="M80" s="3">
        <v>34454</v>
      </c>
      <c r="O80" s="3">
        <v>34454</v>
      </c>
      <c r="AB80" s="3">
        <v>34454</v>
      </c>
      <c r="AC80" s="159">
        <v>9.5818011464903815E-3</v>
      </c>
      <c r="AD80" s="159">
        <v>-4.6701397347372664E-2</v>
      </c>
      <c r="AE80" s="159">
        <v>-2.9982916598459138E-2</v>
      </c>
      <c r="AF80" s="159">
        <v>3.1315462500352442E-2</v>
      </c>
    </row>
    <row r="81" spans="1:32" ht="15" customHeight="1" x14ac:dyDescent="0.2">
      <c r="A81" s="3">
        <v>34424</v>
      </c>
      <c r="B81" s="159">
        <v>-3.863749988079071E-2</v>
      </c>
      <c r="C81" s="159">
        <v>-1.2637499880790711E-2</v>
      </c>
      <c r="D81" s="159">
        <v>-1.5837499880790709E-2</v>
      </c>
      <c r="E81" s="159">
        <v>-5.3374998807907102E-3</v>
      </c>
      <c r="F81" s="159">
        <v>-1.973749988079071E-2</v>
      </c>
      <c r="G81" s="159">
        <v>-4.1937499880790707E-2</v>
      </c>
      <c r="H81" s="159">
        <v>-4.9037499880790709E-2</v>
      </c>
      <c r="I81" s="159">
        <v>-4.5637499880790709E-2</v>
      </c>
      <c r="J81" s="159">
        <v>2.3062500119209288E-2</v>
      </c>
      <c r="K81" s="159">
        <v>6.8962500119209291E-2</v>
      </c>
      <c r="L81" s="159">
        <v>-4.6701397347372664E-2</v>
      </c>
      <c r="M81" s="3">
        <v>34424</v>
      </c>
      <c r="O81" s="3">
        <v>34424</v>
      </c>
      <c r="P81" s="159">
        <f t="shared" ref="P81:Z81" si="26">SUM(B81:B83)</f>
        <v>-7.3327083182334898E-2</v>
      </c>
      <c r="Q81" s="159">
        <f t="shared" si="26"/>
        <v>-1.2727083182334901E-2</v>
      </c>
      <c r="R81" s="159">
        <f t="shared" si="26"/>
        <v>1.4272916817665099E-2</v>
      </c>
      <c r="S81" s="159">
        <f t="shared" si="26"/>
        <v>-1.3327083182334901E-2</v>
      </c>
      <c r="T81" s="159">
        <f t="shared" si="26"/>
        <v>-3.1927083182334899E-2</v>
      </c>
      <c r="U81" s="159">
        <f t="shared" si="26"/>
        <v>-5.9827083182334886E-2</v>
      </c>
      <c r="V81" s="159">
        <f t="shared" si="26"/>
        <v>3.9772916817665094E-2</v>
      </c>
      <c r="W81" s="159">
        <f t="shared" si="26"/>
        <v>-0.10562708318233489</v>
      </c>
      <c r="X81" s="159">
        <f t="shared" si="26"/>
        <v>3.2072916817665095E-2</v>
      </c>
      <c r="Y81" s="159">
        <f t="shared" si="26"/>
        <v>6.7772916817665091E-2</v>
      </c>
      <c r="Z81" s="159">
        <f t="shared" si="26"/>
        <v>-4.5368851445479363E-2</v>
      </c>
      <c r="AB81" s="3">
        <v>34424</v>
      </c>
      <c r="AC81" s="159">
        <v>-4.6701397347372664E-2</v>
      </c>
      <c r="AD81" s="159">
        <v>-2.9982916598459138E-2</v>
      </c>
      <c r="AE81" s="159">
        <v>3.1315462500352442E-2</v>
      </c>
      <c r="AF81" s="159">
        <v>9.3600000000000003E-3</v>
      </c>
    </row>
    <row r="82" spans="1:32" ht="15" customHeight="1" x14ac:dyDescent="0.2">
      <c r="A82" s="3">
        <v>34393</v>
      </c>
      <c r="B82" s="159">
        <v>-4.3575000031789143E-2</v>
      </c>
      <c r="C82" s="159">
        <v>-1.1750000317891441E-3</v>
      </c>
      <c r="D82" s="159">
        <v>-4.1750000317891441E-3</v>
      </c>
      <c r="E82" s="159">
        <v>-2.750000317891443E-4</v>
      </c>
      <c r="F82" s="159">
        <v>-2.2675000031789145E-2</v>
      </c>
      <c r="G82" s="159">
        <v>-2.7375000031789144E-2</v>
      </c>
      <c r="H82" s="159">
        <v>-1.4075000031789145E-2</v>
      </c>
      <c r="I82" s="159">
        <v>-5.9175000031789146E-2</v>
      </c>
      <c r="J82" s="159">
        <v>9.3249999682108557E-3</v>
      </c>
      <c r="K82" s="159">
        <v>1.7324999968210856E-2</v>
      </c>
      <c r="L82" s="159">
        <v>-2.9982916598459138E-2</v>
      </c>
      <c r="M82" s="3">
        <v>34393</v>
      </c>
      <c r="O82" s="3">
        <v>34393</v>
      </c>
      <c r="AB82" s="3">
        <v>34393</v>
      </c>
      <c r="AC82" s="159">
        <v>-2.9982916598459138E-2</v>
      </c>
      <c r="AD82" s="159">
        <v>3.1315462500352442E-2</v>
      </c>
      <c r="AE82" s="159">
        <v>9.3600000000000003E-3</v>
      </c>
      <c r="AF82" s="159">
        <v>-1.2307E-2</v>
      </c>
    </row>
    <row r="83" spans="1:32" ht="15" customHeight="1" x14ac:dyDescent="0.2">
      <c r="A83" s="3">
        <v>34365</v>
      </c>
      <c r="B83" s="159">
        <v>8.8854167302449549E-3</v>
      </c>
      <c r="C83" s="159">
        <v>1.0854167302449544E-3</v>
      </c>
      <c r="D83" s="159">
        <v>3.4285416730244954E-2</v>
      </c>
      <c r="E83" s="159">
        <v>-7.7145832697550452E-3</v>
      </c>
      <c r="F83" s="159">
        <v>1.0485416730244954E-2</v>
      </c>
      <c r="G83" s="159">
        <v>9.4854167302449548E-3</v>
      </c>
      <c r="H83" s="159">
        <v>0.10288541673024496</v>
      </c>
      <c r="I83" s="159">
        <v>-8.1458326975504558E-4</v>
      </c>
      <c r="J83" s="159">
        <v>-3.1458326975504535E-4</v>
      </c>
      <c r="K83" s="159">
        <v>-1.8514583269755046E-2</v>
      </c>
      <c r="L83" s="159">
        <v>3.1315462500352442E-2</v>
      </c>
      <c r="M83" s="3">
        <v>34365</v>
      </c>
      <c r="O83" s="3">
        <v>34365</v>
      </c>
      <c r="AB83" s="3">
        <v>34365</v>
      </c>
      <c r="AC83" s="159">
        <v>3.1315462500352442E-2</v>
      </c>
      <c r="AD83" s="159">
        <v>9.3600000000000003E-3</v>
      </c>
      <c r="AE83" s="159">
        <v>-1.2307E-2</v>
      </c>
      <c r="AF83" s="159">
        <v>1.7981E-2</v>
      </c>
    </row>
    <row r="85" spans="1:32" ht="15" customHeight="1" x14ac:dyDescent="0.2">
      <c r="A85" s="2" t="s">
        <v>53</v>
      </c>
      <c r="B85" s="160">
        <f t="shared" ref="B85:L85" si="27">AVERAGE(B3:B83)*12</f>
        <v>7.972305523083531E-2</v>
      </c>
      <c r="C85" s="160">
        <f t="shared" si="27"/>
        <v>5.4078610786390882E-2</v>
      </c>
      <c r="D85" s="160">
        <f t="shared" si="27"/>
        <v>7.007861078639091E-2</v>
      </c>
      <c r="E85" s="160">
        <f t="shared" si="27"/>
        <v>6.3782314490094569E-2</v>
      </c>
      <c r="F85" s="160">
        <f t="shared" si="27"/>
        <v>1.5767499675279781E-2</v>
      </c>
      <c r="G85" s="160">
        <f t="shared" si="27"/>
        <v>0.11779712930490942</v>
      </c>
      <c r="H85" s="160">
        <f t="shared" si="27"/>
        <v>2.3071203378983496E-2</v>
      </c>
      <c r="I85" s="160">
        <f t="shared" si="27"/>
        <v>7.7248981156761279E-2</v>
      </c>
      <c r="J85" s="160">
        <f t="shared" si="27"/>
        <v>-1.1625092917312804E-2</v>
      </c>
      <c r="K85" s="160">
        <f t="shared" si="27"/>
        <v>-7.1151018843238795E-2</v>
      </c>
      <c r="L85" s="160">
        <f t="shared" si="27"/>
        <v>0.14552307093710917</v>
      </c>
      <c r="O85" s="2" t="s">
        <v>53</v>
      </c>
      <c r="P85" s="160">
        <v>7.972305523083531E-2</v>
      </c>
      <c r="Q85" s="160">
        <v>5.4078610786390882E-2</v>
      </c>
      <c r="R85" s="160">
        <v>7.007861078639091E-2</v>
      </c>
      <c r="S85" s="160">
        <v>6.3782314490094569E-2</v>
      </c>
      <c r="T85" s="160">
        <v>1.5767499675279781E-2</v>
      </c>
      <c r="U85" s="160">
        <v>0.11779712930490942</v>
      </c>
      <c r="V85" s="160">
        <v>2.3071203378983496E-2</v>
      </c>
      <c r="W85" s="160">
        <v>7.7248981156761279E-2</v>
      </c>
      <c r="X85" s="160">
        <v>-1.1625092917312804E-2</v>
      </c>
      <c r="Y85" s="160">
        <v>-7.1151018843238795E-2</v>
      </c>
      <c r="Z85" s="160">
        <v>0.14552307093710917</v>
      </c>
    </row>
    <row r="86" spans="1:32" ht="15" customHeight="1" x14ac:dyDescent="0.2">
      <c r="A86" s="2" t="s">
        <v>54</v>
      </c>
      <c r="B86" s="160">
        <f t="shared" ref="B86:L86" si="28">_xlfn.STDEV.S(B3:B83)*(12^0.5)</f>
        <v>9.9947352049964175E-2</v>
      </c>
      <c r="C86" s="160">
        <f t="shared" si="28"/>
        <v>5.0702083428717286E-2</v>
      </c>
      <c r="D86" s="160">
        <f t="shared" si="28"/>
        <v>6.6873280055430834E-2</v>
      </c>
      <c r="E86" s="160">
        <f t="shared" si="28"/>
        <v>3.4610162724749011E-2</v>
      </c>
      <c r="F86" s="160">
        <f t="shared" si="28"/>
        <v>4.3965477551273786E-2</v>
      </c>
      <c r="G86" s="160">
        <f t="shared" si="28"/>
        <v>0.12605899499410556</v>
      </c>
      <c r="H86" s="160">
        <f t="shared" si="28"/>
        <v>0.20798941293225975</v>
      </c>
      <c r="I86" s="160">
        <f t="shared" si="28"/>
        <v>0.14438746537660083</v>
      </c>
      <c r="J86" s="160">
        <f t="shared" si="28"/>
        <v>0.11090935354884505</v>
      </c>
      <c r="K86" s="160">
        <f t="shared" si="28"/>
        <v>0.18560252877008812</v>
      </c>
      <c r="L86" s="160">
        <f t="shared" si="28"/>
        <v>0.14188275057726146</v>
      </c>
      <c r="O86" s="2" t="s">
        <v>54</v>
      </c>
      <c r="P86" s="160">
        <v>9.9947352049964175E-2</v>
      </c>
      <c r="Q86" s="160">
        <v>5.0702083428717286E-2</v>
      </c>
      <c r="R86" s="160">
        <v>6.6873280055430834E-2</v>
      </c>
      <c r="S86" s="160">
        <v>3.4610162724749011E-2</v>
      </c>
      <c r="T86" s="160">
        <v>4.3965477551273786E-2</v>
      </c>
      <c r="U86" s="160">
        <v>0.12605899499410556</v>
      </c>
      <c r="V86" s="160">
        <v>0.20798941293225975</v>
      </c>
      <c r="W86" s="160">
        <v>0.14438746537660083</v>
      </c>
      <c r="X86" s="160">
        <v>0.11090935354884505</v>
      </c>
      <c r="Y86" s="160">
        <v>0.18560252877008812</v>
      </c>
      <c r="Z86" s="160">
        <v>0.14188275057726146</v>
      </c>
    </row>
    <row r="87" spans="1:32" ht="15" customHeight="1" x14ac:dyDescent="0.2">
      <c r="A87" s="2" t="s">
        <v>55</v>
      </c>
      <c r="B87" s="161">
        <f>B85/B86</f>
        <v>0.79765049894449791</v>
      </c>
      <c r="C87" s="161">
        <f t="shared" ref="C87:L87" si="29">C85/C86</f>
        <v>1.0665954361110368</v>
      </c>
      <c r="D87" s="161">
        <f t="shared" si="29"/>
        <v>1.0479314118928098</v>
      </c>
      <c r="E87" s="161">
        <f t="shared" si="29"/>
        <v>1.8428782030685211</v>
      </c>
      <c r="F87" s="161">
        <f t="shared" si="29"/>
        <v>0.35863364970598294</v>
      </c>
      <c r="G87" s="161">
        <f t="shared" si="29"/>
        <v>0.93446032399685197</v>
      </c>
      <c r="H87" s="161">
        <f t="shared" si="29"/>
        <v>0.11092489302086532</v>
      </c>
      <c r="I87" s="161">
        <f t="shared" si="29"/>
        <v>0.53501168508828267</v>
      </c>
      <c r="J87" s="161">
        <f t="shared" si="29"/>
        <v>-0.10481616333822605</v>
      </c>
      <c r="K87" s="161">
        <f t="shared" si="29"/>
        <v>-0.3833515594573384</v>
      </c>
      <c r="L87" s="161">
        <f t="shared" si="29"/>
        <v>1.0256572440626981</v>
      </c>
      <c r="O87" s="23" t="s">
        <v>61</v>
      </c>
      <c r="P87" s="159">
        <f t="shared" ref="P87:Z87" si="30">_xlfn.STDEV.S(P3:P83)*(4^0.5)</f>
        <v>0.10070139423212263</v>
      </c>
      <c r="Q87" s="159">
        <f t="shared" si="30"/>
        <v>7.1768624525604549E-2</v>
      </c>
      <c r="R87" s="159">
        <f t="shared" si="30"/>
        <v>8.5793186012756664E-2</v>
      </c>
      <c r="S87" s="159">
        <f t="shared" si="30"/>
        <v>4.2534320935991153E-2</v>
      </c>
      <c r="T87" s="159">
        <f t="shared" si="30"/>
        <v>4.8253091490431714E-2</v>
      </c>
      <c r="U87" s="159">
        <f t="shared" si="30"/>
        <v>0.13429403890426722</v>
      </c>
      <c r="V87" s="159">
        <f t="shared" si="30"/>
        <v>0.26630654868594356</v>
      </c>
      <c r="W87" s="159">
        <f t="shared" si="30"/>
        <v>0.14411816812046746</v>
      </c>
      <c r="X87" s="159">
        <f t="shared" si="30"/>
        <v>0.1050888426683417</v>
      </c>
      <c r="Y87" s="159">
        <f t="shared" si="30"/>
        <v>0.18685541601751834</v>
      </c>
      <c r="Z87" s="159">
        <f t="shared" si="30"/>
        <v>0.1322276835952835</v>
      </c>
    </row>
    <row r="88" spans="1:32" ht="15" customHeight="1" x14ac:dyDescent="0.2">
      <c r="A88" s="2" t="s">
        <v>56</v>
      </c>
      <c r="B88" s="161">
        <f t="shared" ref="B88:L88" si="31">CORREL(B3:B83,$L3:$L83)</f>
        <v>0.52407860057383837</v>
      </c>
      <c r="C88" s="161">
        <f t="shared" si="31"/>
        <v>0.12631698726489576</v>
      </c>
      <c r="D88" s="161">
        <f t="shared" si="31"/>
        <v>0.59723352782608807</v>
      </c>
      <c r="E88" s="161">
        <f t="shared" si="31"/>
        <v>0.48156305173087927</v>
      </c>
      <c r="F88" s="161">
        <f t="shared" si="31"/>
        <v>8.1310406295803259E-2</v>
      </c>
      <c r="G88" s="161">
        <f t="shared" si="31"/>
        <v>0.61828497836545049</v>
      </c>
      <c r="H88" s="161">
        <f t="shared" si="31"/>
        <v>0.50178074004846307</v>
      </c>
      <c r="I88" s="161">
        <f t="shared" si="31"/>
        <v>0.36088402420167892</v>
      </c>
      <c r="J88" s="161">
        <f t="shared" si="31"/>
        <v>1.2708782338649059E-2</v>
      </c>
      <c r="K88" s="161">
        <f t="shared" si="31"/>
        <v>-0.75926180013609179</v>
      </c>
      <c r="L88" s="161">
        <f t="shared" si="31"/>
        <v>1.0000000000000002</v>
      </c>
      <c r="O88" s="23" t="s">
        <v>62</v>
      </c>
      <c r="P88" s="160">
        <f>(P87-P86)/P86</f>
        <v>7.5443937902577151E-3</v>
      </c>
      <c r="Q88" s="160">
        <f t="shared" ref="Q88:Z88" si="32">(Q87-Q86)/Q86</f>
        <v>0.41549655699070009</v>
      </c>
      <c r="R88" s="160">
        <f t="shared" si="32"/>
        <v>0.28292175801221714</v>
      </c>
      <c r="S88" s="160">
        <f t="shared" si="32"/>
        <v>0.22895466497115718</v>
      </c>
      <c r="T88" s="160">
        <f t="shared" si="32"/>
        <v>9.7522287439220715E-2</v>
      </c>
      <c r="U88" s="160">
        <f t="shared" si="32"/>
        <v>6.5326904363680924E-2</v>
      </c>
      <c r="V88" s="160">
        <f t="shared" si="32"/>
        <v>0.28038511639377123</v>
      </c>
      <c r="W88" s="160">
        <f t="shared" si="32"/>
        <v>-1.8651013467891238E-3</v>
      </c>
      <c r="X88" s="160">
        <f t="shared" si="32"/>
        <v>-5.2479891859977063E-2</v>
      </c>
      <c r="Y88" s="160">
        <f t="shared" si="32"/>
        <v>6.7503781103231382E-3</v>
      </c>
      <c r="Z88" s="160">
        <f t="shared" si="32"/>
        <v>-6.8049618031054082E-2</v>
      </c>
    </row>
    <row r="89" spans="1:32" ht="15" customHeight="1" x14ac:dyDescent="0.2">
      <c r="A89" s="2" t="s">
        <v>57</v>
      </c>
      <c r="B89" s="160">
        <f t="shared" ref="B89:L89" si="33">MAX(B3:B83)</f>
        <v>8.0940000104904181E-2</v>
      </c>
      <c r="C89" s="160">
        <f t="shared" si="33"/>
        <v>3.0979166698455813E-2</v>
      </c>
      <c r="D89" s="160">
        <f t="shared" si="33"/>
        <v>3.4285416730244954E-2</v>
      </c>
      <c r="E89" s="160">
        <f t="shared" si="33"/>
        <v>2.8381249999999997E-2</v>
      </c>
      <c r="F89" s="160">
        <f t="shared" si="33"/>
        <v>1.5474999936421711E-2</v>
      </c>
      <c r="G89" s="160">
        <f t="shared" si="33"/>
        <v>0.12574000010490416</v>
      </c>
      <c r="H89" s="160">
        <f t="shared" si="33"/>
        <v>0.16045208338101707</v>
      </c>
      <c r="I89" s="160">
        <f t="shared" si="33"/>
        <v>0.10147916650772094</v>
      </c>
      <c r="J89" s="160">
        <f t="shared" si="33"/>
        <v>9.5385416666666667E-2</v>
      </c>
      <c r="K89" s="160">
        <f t="shared" si="33"/>
        <v>0.22298541666666666</v>
      </c>
      <c r="L89" s="160">
        <f t="shared" si="33"/>
        <v>9.2896896078408897E-2</v>
      </c>
      <c r="O89" s="23" t="s">
        <v>56</v>
      </c>
      <c r="P89" s="162">
        <f t="shared" ref="P89:Z89" si="34">B88</f>
        <v>0.52407860057383837</v>
      </c>
      <c r="Q89" s="162">
        <f t="shared" si="34"/>
        <v>0.12631698726489576</v>
      </c>
      <c r="R89" s="162">
        <f t="shared" si="34"/>
        <v>0.59723352782608807</v>
      </c>
      <c r="S89" s="162">
        <f t="shared" si="34"/>
        <v>0.48156305173087927</v>
      </c>
      <c r="T89" s="162">
        <f t="shared" si="34"/>
        <v>8.1310406295803259E-2</v>
      </c>
      <c r="U89" s="162">
        <f t="shared" si="34"/>
        <v>0.61828497836545049</v>
      </c>
      <c r="V89" s="162">
        <f t="shared" si="34"/>
        <v>0.50178074004846307</v>
      </c>
      <c r="W89" s="162">
        <f t="shared" si="34"/>
        <v>0.36088402420167892</v>
      </c>
      <c r="X89" s="162">
        <f t="shared" si="34"/>
        <v>1.2708782338649059E-2</v>
      </c>
      <c r="Y89" s="162">
        <f t="shared" si="34"/>
        <v>-0.75926180013609179</v>
      </c>
      <c r="Z89" s="161">
        <f t="shared" si="34"/>
        <v>1.0000000000000002</v>
      </c>
    </row>
    <row r="90" spans="1:32" ht="15" customHeight="1" x14ac:dyDescent="0.2">
      <c r="A90" s="2" t="s">
        <v>59</v>
      </c>
      <c r="B90" s="163">
        <f>VLOOKUP(B89,$B$3:$M$83,12,FALSE)</f>
        <v>36525</v>
      </c>
      <c r="C90" s="163">
        <f>VLOOKUP(C89,$C$3:$M$83,11,FALSE)</f>
        <v>36646</v>
      </c>
      <c r="D90" s="163">
        <f>VLOOKUP(D89,$D$3:$M$83,10,FALSE)</f>
        <v>34365</v>
      </c>
      <c r="E90" s="163">
        <f>VLOOKUP(E89,$E$3:$M$83,9,FALSE)</f>
        <v>35642</v>
      </c>
      <c r="F90" s="163">
        <f>VLOOKUP(F89,$F$3:$M$83,8,FALSE)</f>
        <v>34819</v>
      </c>
      <c r="G90" s="163">
        <f>VLOOKUP(G89,$G$3:$M$83,7,FALSE)</f>
        <v>36525</v>
      </c>
      <c r="H90" s="163">
        <f>VLOOKUP(H89,$H$3:$M$83,6,FALSE)</f>
        <v>34577</v>
      </c>
      <c r="I90" s="163">
        <f>VLOOKUP(I89,$I$3:$M$83,5,FALSE)</f>
        <v>34942</v>
      </c>
      <c r="J90" s="163">
        <f>VLOOKUP(J89,$J$3:$M$83,4,FALSE)</f>
        <v>36038</v>
      </c>
      <c r="K90" s="163">
        <f>VLOOKUP(K89,$K$3:$M$83,3,FALSE)</f>
        <v>36038</v>
      </c>
      <c r="L90" s="163">
        <f>VLOOKUP(L89,$L$3:$M$83,2,FALSE)</f>
        <v>36616</v>
      </c>
      <c r="O90" s="23" t="s">
        <v>63</v>
      </c>
      <c r="P90" s="162">
        <f t="shared" ref="P90:Z90" si="35">CORREL(P3:P83,$Z3:$Z83)</f>
        <v>0.64114962271253206</v>
      </c>
      <c r="Q90" s="162">
        <f t="shared" si="35"/>
        <v>0.23403024204398765</v>
      </c>
      <c r="R90" s="162">
        <f t="shared" si="35"/>
        <v>0.64237619542327684</v>
      </c>
      <c r="S90" s="162">
        <f t="shared" si="35"/>
        <v>0.50454780516831521</v>
      </c>
      <c r="T90" s="162">
        <f t="shared" si="35"/>
        <v>0.25888168043857696</v>
      </c>
      <c r="U90" s="162">
        <f t="shared" si="35"/>
        <v>0.76315647808141585</v>
      </c>
      <c r="V90" s="162">
        <f t="shared" si="35"/>
        <v>0.44043777140110246</v>
      </c>
      <c r="W90" s="162">
        <f t="shared" si="35"/>
        <v>0.41141539190957432</v>
      </c>
      <c r="X90" s="162">
        <f t="shared" si="35"/>
        <v>-0.29013109134599158</v>
      </c>
      <c r="Y90" s="162">
        <f t="shared" si="35"/>
        <v>-0.77754065934669603</v>
      </c>
      <c r="Z90" s="161">
        <f t="shared" si="35"/>
        <v>1</v>
      </c>
    </row>
    <row r="91" spans="1:32" ht="15" customHeight="1" x14ac:dyDescent="0.2">
      <c r="A91" s="2" t="s">
        <v>58</v>
      </c>
      <c r="B91" s="160">
        <f t="shared" ref="B91:L91" si="36">MIN(B3:B83)</f>
        <v>-7.9614583333333336E-2</v>
      </c>
      <c r="C91" s="160">
        <f t="shared" si="36"/>
        <v>-5.0514583333333328E-2</v>
      </c>
      <c r="D91" s="160">
        <f t="shared" si="36"/>
        <v>-0.12181458333333334</v>
      </c>
      <c r="E91" s="160">
        <f t="shared" si="36"/>
        <v>-1.5781249841054279E-2</v>
      </c>
      <c r="F91" s="160">
        <f t="shared" si="36"/>
        <v>-7.3003333425521844E-2</v>
      </c>
      <c r="G91" s="160">
        <f t="shared" si="36"/>
        <v>-0.11841458333333334</v>
      </c>
      <c r="H91" s="160">
        <f t="shared" si="36"/>
        <v>-0.23441458333333334</v>
      </c>
      <c r="I91" s="160">
        <f t="shared" si="36"/>
        <v>-0.11890333342552185</v>
      </c>
      <c r="J91" s="160">
        <f t="shared" si="36"/>
        <v>-9.789499974250794E-2</v>
      </c>
      <c r="K91" s="160">
        <f t="shared" si="36"/>
        <v>-9.1137500047683714E-2</v>
      </c>
      <c r="L91" s="160">
        <f t="shared" si="36"/>
        <v>-0.14885843218420058</v>
      </c>
      <c r="O91" s="23" t="s">
        <v>64</v>
      </c>
      <c r="P91" s="162">
        <f>P90-P89</f>
        <v>0.11707102213869369</v>
      </c>
      <c r="Q91" s="162">
        <f t="shared" ref="Q91:Z91" si="37">Q90-Q89</f>
        <v>0.10771325477909188</v>
      </c>
      <c r="R91" s="162">
        <f t="shared" si="37"/>
        <v>4.5142667597188768E-2</v>
      </c>
      <c r="S91" s="162">
        <f t="shared" si="37"/>
        <v>2.2984753437435945E-2</v>
      </c>
      <c r="T91" s="162">
        <f t="shared" si="37"/>
        <v>0.17757127414277368</v>
      </c>
      <c r="U91" s="162">
        <f t="shared" si="37"/>
        <v>0.14487149971596536</v>
      </c>
      <c r="V91" s="162">
        <f t="shared" si="37"/>
        <v>-6.1342968647360607E-2</v>
      </c>
      <c r="W91" s="162">
        <f t="shared" si="37"/>
        <v>5.0531367707895403E-2</v>
      </c>
      <c r="X91" s="162">
        <f t="shared" si="37"/>
        <v>-0.30283987368464066</v>
      </c>
      <c r="Y91" s="162">
        <f t="shared" si="37"/>
        <v>-1.8278859210604237E-2</v>
      </c>
      <c r="Z91" s="161">
        <f t="shared" si="37"/>
        <v>0</v>
      </c>
    </row>
    <row r="92" spans="1:32" ht="15" customHeight="1" x14ac:dyDescent="0.2">
      <c r="A92" s="2" t="s">
        <v>60</v>
      </c>
      <c r="B92" s="163">
        <f>VLOOKUP(B91,$B$3:$M$83,12,FALSE)</f>
        <v>36038</v>
      </c>
      <c r="C92" s="163">
        <f>VLOOKUP(C91,$C$3:$M$83,11,FALSE)</f>
        <v>36038</v>
      </c>
      <c r="D92" s="163">
        <f>VLOOKUP(D91,$D$3:$M$83,10,FALSE)</f>
        <v>36038</v>
      </c>
      <c r="E92" s="163">
        <f>VLOOKUP(E91,$E$3:$M$83,9,FALSE)</f>
        <v>35520</v>
      </c>
      <c r="F92" s="163">
        <f>VLOOKUP(F91,$F$3:$M$83,8,FALSE)</f>
        <v>36099</v>
      </c>
      <c r="G92" s="163">
        <f>VLOOKUP(G91,$G$3:$M$83,7,FALSE)</f>
        <v>36038</v>
      </c>
      <c r="H92" s="163">
        <f>VLOOKUP(H91,$H$3:$M$83,6,FALSE)</f>
        <v>36038</v>
      </c>
      <c r="I92" s="163">
        <f>VLOOKUP(I91,$I$3:$M$83,5,FALSE)</f>
        <v>36099</v>
      </c>
      <c r="J92" s="163">
        <f>VLOOKUP(J91,$J$3:$M$83,4,FALSE)</f>
        <v>34972</v>
      </c>
      <c r="K92" s="163">
        <f>VLOOKUP(K91,$K$3:$M$83,3,FALSE)</f>
        <v>36585</v>
      </c>
      <c r="L92" s="163">
        <f>VLOOKUP(L91,$L$3:$M$83,2,FALSE)</f>
        <v>36038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FC45-70ED-4746-92EC-1D875768F9B0}">
  <dimension ref="A1:I235"/>
  <sheetViews>
    <sheetView workbookViewId="0">
      <selection activeCell="A6" sqref="A6"/>
    </sheetView>
  </sheetViews>
  <sheetFormatPr baseColWidth="10" defaultColWidth="10.83203125" defaultRowHeight="15" customHeight="1" x14ac:dyDescent="0.2"/>
  <cols>
    <col min="1" max="16384" width="10.83203125" style="28"/>
  </cols>
  <sheetData>
    <row r="1" spans="1:6" ht="15" customHeight="1" x14ac:dyDescent="0.2">
      <c r="A1" s="19" t="s">
        <v>117</v>
      </c>
    </row>
    <row r="2" spans="1:6" ht="15" customHeight="1" x14ac:dyDescent="0.2">
      <c r="A2" s="28" t="s">
        <v>107</v>
      </c>
    </row>
    <row r="3" spans="1:6" ht="15" customHeight="1" thickBot="1" x14ac:dyDescent="0.25"/>
    <row r="4" spans="1:6" ht="15" customHeight="1" x14ac:dyDescent="0.2">
      <c r="A4" s="20" t="s">
        <v>106</v>
      </c>
      <c r="B4" s="20"/>
    </row>
    <row r="5" spans="1:6" ht="15" customHeight="1" x14ac:dyDescent="0.2">
      <c r="A5" s="28" t="s">
        <v>105</v>
      </c>
      <c r="B5" s="28">
        <v>0.52407860057383771</v>
      </c>
    </row>
    <row r="6" spans="1:6" ht="15" customHeight="1" x14ac:dyDescent="0.2">
      <c r="A6" s="28" t="s">
        <v>104</v>
      </c>
      <c r="B6" s="28">
        <v>0.27465837957943207</v>
      </c>
    </row>
    <row r="7" spans="1:6" ht="15" customHeight="1" x14ac:dyDescent="0.2">
      <c r="A7" s="28" t="s">
        <v>103</v>
      </c>
      <c r="B7" s="28">
        <v>0.26547684008043754</v>
      </c>
    </row>
    <row r="8" spans="1:6" ht="15" customHeight="1" x14ac:dyDescent="0.2">
      <c r="A8" s="28" t="s">
        <v>91</v>
      </c>
      <c r="B8" s="28">
        <v>2.4727682543098466E-2</v>
      </c>
    </row>
    <row r="9" spans="1:6" ht="15" customHeight="1" thickBot="1" x14ac:dyDescent="0.25">
      <c r="A9" s="29" t="s">
        <v>102</v>
      </c>
      <c r="B9" s="29">
        <v>81</v>
      </c>
    </row>
    <row r="11" spans="1:6" ht="15" customHeight="1" thickBot="1" x14ac:dyDescent="0.25">
      <c r="A11" s="28" t="s">
        <v>101</v>
      </c>
    </row>
    <row r="12" spans="1:6" ht="15" customHeight="1" x14ac:dyDescent="0.2">
      <c r="A12" s="21"/>
      <c r="B12" s="21" t="s">
        <v>100</v>
      </c>
      <c r="C12" s="21" t="s">
        <v>99</v>
      </c>
      <c r="D12" s="21" t="s">
        <v>98</v>
      </c>
      <c r="E12" s="21" t="s">
        <v>97</v>
      </c>
      <c r="F12" s="21" t="s">
        <v>96</v>
      </c>
    </row>
    <row r="13" spans="1:6" ht="15" customHeight="1" x14ac:dyDescent="0.2">
      <c r="A13" s="28" t="s">
        <v>95</v>
      </c>
      <c r="B13" s="28">
        <v>1</v>
      </c>
      <c r="C13" s="28">
        <v>1.8291283446434922E-2</v>
      </c>
      <c r="D13" s="28">
        <v>1.8291283446434922E-2</v>
      </c>
      <c r="E13" s="28">
        <v>29.914196808662627</v>
      </c>
      <c r="F13" s="28">
        <v>5.1357986662460714E-7</v>
      </c>
    </row>
    <row r="14" spans="1:6" ht="15" customHeight="1" x14ac:dyDescent="0.2">
      <c r="A14" s="28" t="s">
        <v>94</v>
      </c>
      <c r="B14" s="28">
        <v>79</v>
      </c>
      <c r="C14" s="28">
        <v>4.8305204432228271E-2</v>
      </c>
      <c r="D14" s="28">
        <v>6.1145828395225662E-4</v>
      </c>
    </row>
    <row r="15" spans="1:6" ht="15" customHeight="1" thickBot="1" x14ac:dyDescent="0.25">
      <c r="A15" s="29" t="s">
        <v>93</v>
      </c>
      <c r="B15" s="29">
        <v>80</v>
      </c>
      <c r="C15" s="29">
        <v>6.6596487878663194E-2</v>
      </c>
      <c r="D15" s="29"/>
      <c r="E15" s="29"/>
      <c r="F15" s="29"/>
    </row>
    <row r="16" spans="1:6" ht="15" customHeight="1" thickBot="1" x14ac:dyDescent="0.25"/>
    <row r="17" spans="1:9" ht="15" customHeight="1" x14ac:dyDescent="0.2">
      <c r="A17" s="21"/>
      <c r="B17" s="21" t="s">
        <v>92</v>
      </c>
      <c r="C17" s="21" t="s">
        <v>91</v>
      </c>
      <c r="D17" s="21" t="s">
        <v>90</v>
      </c>
      <c r="E17" s="21" t="s">
        <v>89</v>
      </c>
      <c r="F17" s="21" t="s">
        <v>88</v>
      </c>
      <c r="G17" s="21" t="s">
        <v>87</v>
      </c>
      <c r="H17" s="21" t="s">
        <v>86</v>
      </c>
      <c r="I17" s="21" t="s">
        <v>85</v>
      </c>
    </row>
    <row r="18" spans="1:9" ht="15" customHeight="1" x14ac:dyDescent="0.2">
      <c r="A18" s="28" t="s">
        <v>84</v>
      </c>
      <c r="B18" s="22">
        <f>0.00216657112559917*12</f>
        <v>2.5998853507190039E-2</v>
      </c>
      <c r="C18" s="28">
        <v>2.8668635713416379E-3</v>
      </c>
      <c r="D18" s="28">
        <v>0.75572871595883373</v>
      </c>
      <c r="E18" s="28">
        <v>0.4520593590349179</v>
      </c>
      <c r="F18" s="28">
        <v>-3.5397780726788885E-3</v>
      </c>
      <c r="G18" s="28">
        <v>7.8729203238772326E-3</v>
      </c>
      <c r="H18" s="28">
        <v>-5.400528537234146E-3</v>
      </c>
      <c r="I18" s="28">
        <v>9.733670788432491E-3</v>
      </c>
    </row>
    <row r="19" spans="1:9" ht="15" customHeight="1" thickBot="1" x14ac:dyDescent="0.25">
      <c r="A19" s="29" t="s">
        <v>52</v>
      </c>
      <c r="B19" s="29">
        <v>0.36917996148434279</v>
      </c>
      <c r="C19" s="29">
        <v>6.7499327642068271E-2</v>
      </c>
      <c r="D19" s="29">
        <v>5.4693872425220293</v>
      </c>
      <c r="E19" s="29">
        <v>5.1357986662458924E-7</v>
      </c>
      <c r="F19" s="29">
        <v>0.23482591058879565</v>
      </c>
      <c r="G19" s="29">
        <v>0.50353401237988993</v>
      </c>
      <c r="H19" s="29">
        <v>0.19101517382312252</v>
      </c>
      <c r="I19" s="29">
        <v>0.54734474914556308</v>
      </c>
    </row>
    <row r="25" spans="1:9" ht="15" customHeight="1" x14ac:dyDescent="0.2">
      <c r="A25" s="19" t="s">
        <v>116</v>
      </c>
    </row>
    <row r="26" spans="1:9" ht="15" customHeight="1" x14ac:dyDescent="0.2">
      <c r="A26" s="28" t="s">
        <v>107</v>
      </c>
    </row>
    <row r="27" spans="1:9" ht="15" customHeight="1" thickBot="1" x14ac:dyDescent="0.25"/>
    <row r="28" spans="1:9" ht="15" customHeight="1" x14ac:dyDescent="0.2">
      <c r="A28" s="20" t="s">
        <v>106</v>
      </c>
      <c r="B28" s="20"/>
    </row>
    <row r="29" spans="1:9" ht="15" customHeight="1" x14ac:dyDescent="0.2">
      <c r="A29" s="28" t="s">
        <v>105</v>
      </c>
      <c r="B29" s="28">
        <v>0.12631698726489879</v>
      </c>
    </row>
    <row r="30" spans="1:9" ht="15" customHeight="1" x14ac:dyDescent="0.2">
      <c r="A30" s="28" t="s">
        <v>104</v>
      </c>
      <c r="B30" s="28">
        <v>1.5955981271680606E-2</v>
      </c>
    </row>
    <row r="31" spans="1:9" ht="15" customHeight="1" x14ac:dyDescent="0.2">
      <c r="A31" s="28" t="s">
        <v>103</v>
      </c>
      <c r="B31" s="28">
        <v>3.4997278700563093E-3</v>
      </c>
    </row>
    <row r="32" spans="1:9" ht="15" customHeight="1" x14ac:dyDescent="0.2">
      <c r="A32" s="28" t="s">
        <v>91</v>
      </c>
      <c r="B32" s="28">
        <v>1.461079654785391E-2</v>
      </c>
    </row>
    <row r="33" spans="1:9" ht="15" customHeight="1" thickBot="1" x14ac:dyDescent="0.25">
      <c r="A33" s="29" t="s">
        <v>102</v>
      </c>
      <c r="B33" s="29">
        <v>81</v>
      </c>
    </row>
    <row r="35" spans="1:9" ht="15" customHeight="1" thickBot="1" x14ac:dyDescent="0.25">
      <c r="A35" s="28" t="s">
        <v>101</v>
      </c>
    </row>
    <row r="36" spans="1:9" ht="15" customHeight="1" x14ac:dyDescent="0.2">
      <c r="A36" s="21"/>
      <c r="B36" s="21" t="s">
        <v>100</v>
      </c>
      <c r="C36" s="21" t="s">
        <v>99</v>
      </c>
      <c r="D36" s="21" t="s">
        <v>98</v>
      </c>
      <c r="E36" s="21" t="s">
        <v>97</v>
      </c>
      <c r="F36" s="21" t="s">
        <v>96</v>
      </c>
    </row>
    <row r="37" spans="1:9" ht="15" customHeight="1" x14ac:dyDescent="0.2">
      <c r="A37" s="28" t="s">
        <v>95</v>
      </c>
      <c r="B37" s="28">
        <v>1</v>
      </c>
      <c r="C37" s="28">
        <v>2.7345374149113921E-4</v>
      </c>
      <c r="D37" s="28">
        <v>2.7345374149113921E-4</v>
      </c>
      <c r="E37" s="28">
        <v>1.2809615184610763</v>
      </c>
      <c r="F37" s="28">
        <v>0.26114416810102647</v>
      </c>
    </row>
    <row r="38" spans="1:9" ht="15" customHeight="1" x14ac:dyDescent="0.2">
      <c r="A38" s="28" t="s">
        <v>94</v>
      </c>
      <c r="B38" s="28">
        <v>79</v>
      </c>
      <c r="C38" s="28">
        <v>1.6864554685259599E-2</v>
      </c>
      <c r="D38" s="28">
        <v>2.1347537576277975E-4</v>
      </c>
    </row>
    <row r="39" spans="1:9" ht="15" customHeight="1" thickBot="1" x14ac:dyDescent="0.25">
      <c r="A39" s="29" t="s">
        <v>93</v>
      </c>
      <c r="B39" s="29">
        <v>80</v>
      </c>
      <c r="C39" s="29">
        <v>1.7138008426750739E-2</v>
      </c>
      <c r="D39" s="29"/>
      <c r="E39" s="29"/>
      <c r="F39" s="29"/>
    </row>
    <row r="40" spans="1:9" ht="15" customHeight="1" thickBot="1" x14ac:dyDescent="0.25"/>
    <row r="41" spans="1:9" ht="15" customHeight="1" x14ac:dyDescent="0.2">
      <c r="A41" s="21"/>
      <c r="B41" s="21" t="s">
        <v>92</v>
      </c>
      <c r="C41" s="21" t="s">
        <v>91</v>
      </c>
      <c r="D41" s="21" t="s">
        <v>90</v>
      </c>
      <c r="E41" s="21" t="s">
        <v>89</v>
      </c>
      <c r="F41" s="21" t="s">
        <v>88</v>
      </c>
      <c r="G41" s="21" t="s">
        <v>87</v>
      </c>
      <c r="H41" s="21" t="s">
        <v>86</v>
      </c>
      <c r="I41" s="21" t="s">
        <v>85</v>
      </c>
    </row>
    <row r="42" spans="1:9" ht="15" customHeight="1" x14ac:dyDescent="0.2">
      <c r="A42" s="28" t="s">
        <v>84</v>
      </c>
      <c r="B42" s="28">
        <f>0.00395914613806053*12</f>
        <v>4.7509753656726363E-2</v>
      </c>
      <c r="C42" s="28">
        <v>1.6939379700592809E-3</v>
      </c>
      <c r="D42" s="28">
        <v>2.3372438708142163</v>
      </c>
      <c r="E42" s="28">
        <v>2.1959628676876054E-2</v>
      </c>
      <c r="F42" s="28">
        <v>5.8744694943923615E-4</v>
      </c>
      <c r="G42" s="28">
        <v>7.330845326681823E-3</v>
      </c>
      <c r="H42" s="28">
        <v>-5.1201097252965688E-4</v>
      </c>
      <c r="I42" s="28">
        <v>8.4303032486507147E-3</v>
      </c>
    </row>
    <row r="43" spans="1:9" ht="15" customHeight="1" thickBot="1" x14ac:dyDescent="0.25">
      <c r="A43" s="29" t="s">
        <v>52</v>
      </c>
      <c r="B43" s="29">
        <v>4.5139626915263506E-2</v>
      </c>
      <c r="C43" s="29">
        <v>3.9883193322960475E-2</v>
      </c>
      <c r="D43" s="29">
        <v>1.131795705267084</v>
      </c>
      <c r="E43" s="29">
        <v>0.26114416810103819</v>
      </c>
      <c r="F43" s="29">
        <v>-3.4245883619072034E-2</v>
      </c>
      <c r="G43" s="29">
        <v>0.12452513744959905</v>
      </c>
      <c r="H43" s="29">
        <v>-6.0132246418302046E-2</v>
      </c>
      <c r="I43" s="29">
        <v>0.15041150024882904</v>
      </c>
    </row>
    <row r="49" spans="1:6" ht="15" customHeight="1" x14ac:dyDescent="0.2">
      <c r="A49" s="19" t="s">
        <v>115</v>
      </c>
    </row>
    <row r="50" spans="1:6" ht="15" customHeight="1" x14ac:dyDescent="0.2">
      <c r="A50" s="28" t="s">
        <v>107</v>
      </c>
    </row>
    <row r="51" spans="1:6" ht="15" customHeight="1" thickBot="1" x14ac:dyDescent="0.25"/>
    <row r="52" spans="1:6" ht="15" customHeight="1" x14ac:dyDescent="0.2">
      <c r="A52" s="20" t="s">
        <v>106</v>
      </c>
      <c r="B52" s="20"/>
    </row>
    <row r="53" spans="1:6" ht="15" customHeight="1" x14ac:dyDescent="0.2">
      <c r="A53" s="28" t="s">
        <v>105</v>
      </c>
      <c r="B53" s="28">
        <v>0.59723352782608841</v>
      </c>
    </row>
    <row r="54" spans="1:6" ht="15" customHeight="1" x14ac:dyDescent="0.2">
      <c r="A54" s="28" t="s">
        <v>104</v>
      </c>
      <c r="B54" s="28">
        <v>0.35668788675959512</v>
      </c>
    </row>
    <row r="55" spans="1:6" ht="15" customHeight="1" x14ac:dyDescent="0.2">
      <c r="A55" s="28" t="s">
        <v>103</v>
      </c>
      <c r="B55" s="28">
        <v>0.34854469545275452</v>
      </c>
    </row>
    <row r="56" spans="1:6" ht="15" customHeight="1" x14ac:dyDescent="0.2">
      <c r="A56" s="28" t="s">
        <v>91</v>
      </c>
      <c r="B56" s="28">
        <v>1.558132243054349E-2</v>
      </c>
    </row>
    <row r="57" spans="1:6" ht="15" customHeight="1" thickBot="1" x14ac:dyDescent="0.25">
      <c r="A57" s="29" t="s">
        <v>102</v>
      </c>
      <c r="B57" s="29">
        <v>81</v>
      </c>
    </row>
    <row r="59" spans="1:6" ht="15" customHeight="1" thickBot="1" x14ac:dyDescent="0.25">
      <c r="A59" s="28" t="s">
        <v>101</v>
      </c>
    </row>
    <row r="60" spans="1:6" ht="15" customHeight="1" x14ac:dyDescent="0.2">
      <c r="A60" s="21"/>
      <c r="B60" s="21" t="s">
        <v>100</v>
      </c>
      <c r="C60" s="21" t="s">
        <v>99</v>
      </c>
      <c r="D60" s="21" t="s">
        <v>98</v>
      </c>
      <c r="E60" s="21" t="s">
        <v>97</v>
      </c>
      <c r="F60" s="21" t="s">
        <v>96</v>
      </c>
    </row>
    <row r="61" spans="1:6" ht="15" customHeight="1" x14ac:dyDescent="0.2">
      <c r="A61" s="28" t="s">
        <v>95</v>
      </c>
      <c r="B61" s="28">
        <v>1</v>
      </c>
      <c r="C61" s="28">
        <v>1.0634139483067191E-2</v>
      </c>
      <c r="D61" s="28">
        <v>1.0634139483067191E-2</v>
      </c>
      <c r="E61" s="28">
        <v>43.801978035314569</v>
      </c>
      <c r="F61" s="28">
        <v>3.9725674452206014E-9</v>
      </c>
    </row>
    <row r="62" spans="1:6" ht="15" customHeight="1" x14ac:dyDescent="0.2">
      <c r="A62" s="28" t="s">
        <v>94</v>
      </c>
      <c r="B62" s="28">
        <v>79</v>
      </c>
      <c r="C62" s="28">
        <v>1.9179431086080057E-2</v>
      </c>
      <c r="D62" s="28">
        <v>2.4277760868455768E-4</v>
      </c>
    </row>
    <row r="63" spans="1:6" ht="15" customHeight="1" thickBot="1" x14ac:dyDescent="0.25">
      <c r="A63" s="29" t="s">
        <v>93</v>
      </c>
      <c r="B63" s="29">
        <v>80</v>
      </c>
      <c r="C63" s="29">
        <v>2.9813570569147248E-2</v>
      </c>
      <c r="D63" s="29"/>
      <c r="E63" s="29"/>
      <c r="F63" s="29"/>
    </row>
    <row r="64" spans="1:6" ht="15" customHeight="1" thickBot="1" x14ac:dyDescent="0.25"/>
    <row r="65" spans="1:9" ht="15" customHeight="1" x14ac:dyDescent="0.2">
      <c r="A65" s="21"/>
      <c r="B65" s="21" t="s">
        <v>92</v>
      </c>
      <c r="C65" s="21" t="s">
        <v>91</v>
      </c>
      <c r="D65" s="21" t="s">
        <v>90</v>
      </c>
      <c r="E65" s="21" t="s">
        <v>89</v>
      </c>
      <c r="F65" s="21" t="s">
        <v>88</v>
      </c>
      <c r="G65" s="21" t="s">
        <v>87</v>
      </c>
      <c r="H65" s="21" t="s">
        <v>86</v>
      </c>
      <c r="I65" s="21" t="s">
        <v>85</v>
      </c>
    </row>
    <row r="66" spans="1:9" ht="15" customHeight="1" x14ac:dyDescent="0.2">
      <c r="A66" s="28" t="s">
        <v>84</v>
      </c>
      <c r="B66" s="28">
        <f>0.00242624350415586*12</f>
        <v>2.9114922049870321E-2</v>
      </c>
      <c r="C66" s="28">
        <v>1.8064582312393366E-3</v>
      </c>
      <c r="D66" s="28">
        <v>1.3430941619343804</v>
      </c>
      <c r="E66" s="28">
        <v>0.18308739839640736</v>
      </c>
      <c r="F66" s="28">
        <v>-1.1694216619864239E-3</v>
      </c>
      <c r="G66" s="28">
        <v>6.0219086702981445E-3</v>
      </c>
      <c r="H66" s="28">
        <v>-2.3419113565013279E-3</v>
      </c>
      <c r="I66" s="28">
        <v>7.1943983648130481E-3</v>
      </c>
    </row>
    <row r="67" spans="1:9" ht="15" customHeight="1" thickBot="1" x14ac:dyDescent="0.25">
      <c r="A67" s="29" t="s">
        <v>52</v>
      </c>
      <c r="B67" s="29">
        <v>0.28149274525840579</v>
      </c>
      <c r="C67" s="29">
        <v>4.2532444599403092E-2</v>
      </c>
      <c r="D67" s="29">
        <v>6.6183062814676843</v>
      </c>
      <c r="E67" s="29">
        <v>3.9725674452205418E-9</v>
      </c>
      <c r="F67" s="29">
        <v>0.1968340319639226</v>
      </c>
      <c r="G67" s="29">
        <v>0.366151458552889</v>
      </c>
      <c r="H67" s="29">
        <v>0.1692281609213836</v>
      </c>
      <c r="I67" s="29">
        <v>0.39375732959542797</v>
      </c>
    </row>
    <row r="73" spans="1:9" ht="15" customHeight="1" x14ac:dyDescent="0.2">
      <c r="A73" s="19" t="s">
        <v>114</v>
      </c>
    </row>
    <row r="74" spans="1:9" ht="15" customHeight="1" x14ac:dyDescent="0.2">
      <c r="A74" s="28" t="s">
        <v>107</v>
      </c>
    </row>
    <row r="75" spans="1:9" ht="15" customHeight="1" thickBot="1" x14ac:dyDescent="0.25"/>
    <row r="76" spans="1:9" ht="15" customHeight="1" x14ac:dyDescent="0.2">
      <c r="A76" s="20" t="s">
        <v>106</v>
      </c>
      <c r="B76" s="20"/>
    </row>
    <row r="77" spans="1:9" ht="15" customHeight="1" x14ac:dyDescent="0.2">
      <c r="A77" s="28" t="s">
        <v>105</v>
      </c>
      <c r="B77" s="28">
        <v>0.48156305173087921</v>
      </c>
    </row>
    <row r="78" spans="1:9" ht="15" customHeight="1" x14ac:dyDescent="0.2">
      <c r="A78" s="28" t="s">
        <v>104</v>
      </c>
      <c r="B78" s="28">
        <v>0.23190297279235744</v>
      </c>
    </row>
    <row r="79" spans="1:9" ht="15" customHeight="1" x14ac:dyDescent="0.2">
      <c r="A79" s="28" t="s">
        <v>103</v>
      </c>
      <c r="B79" s="28">
        <v>0.22218022561251385</v>
      </c>
    </row>
    <row r="80" spans="1:9" ht="15" customHeight="1" x14ac:dyDescent="0.2">
      <c r="A80" s="28" t="s">
        <v>91</v>
      </c>
      <c r="B80" s="28">
        <v>8.8115540220595721E-3</v>
      </c>
    </row>
    <row r="81" spans="1:9" ht="15" customHeight="1" thickBot="1" x14ac:dyDescent="0.25">
      <c r="A81" s="29" t="s">
        <v>102</v>
      </c>
      <c r="B81" s="29">
        <v>81</v>
      </c>
    </row>
    <row r="83" spans="1:9" ht="15" customHeight="1" thickBot="1" x14ac:dyDescent="0.25">
      <c r="A83" s="28" t="s">
        <v>101</v>
      </c>
    </row>
    <row r="84" spans="1:9" ht="15" customHeight="1" x14ac:dyDescent="0.2">
      <c r="A84" s="21"/>
      <c r="B84" s="21" t="s">
        <v>100</v>
      </c>
      <c r="C84" s="21" t="s">
        <v>99</v>
      </c>
      <c r="D84" s="21" t="s">
        <v>98</v>
      </c>
      <c r="E84" s="21" t="s">
        <v>97</v>
      </c>
      <c r="F84" s="21" t="s">
        <v>96</v>
      </c>
    </row>
    <row r="85" spans="1:9" ht="15" customHeight="1" x14ac:dyDescent="0.2">
      <c r="A85" s="28" t="s">
        <v>95</v>
      </c>
      <c r="B85" s="28">
        <v>1</v>
      </c>
      <c r="C85" s="28">
        <v>1.8519205004804435E-3</v>
      </c>
      <c r="D85" s="28">
        <v>1.8519205004804435E-3</v>
      </c>
      <c r="E85" s="28">
        <v>23.851589319644162</v>
      </c>
      <c r="F85" s="28">
        <v>5.3305304742069965E-6</v>
      </c>
    </row>
    <row r="86" spans="1:9" ht="15" customHeight="1" x14ac:dyDescent="0.2">
      <c r="A86" s="28" t="s">
        <v>94</v>
      </c>
      <c r="B86" s="28">
        <v>79</v>
      </c>
      <c r="C86" s="28">
        <v>6.1338352584102643E-3</v>
      </c>
      <c r="D86" s="28">
        <v>7.7643484283674227E-5</v>
      </c>
    </row>
    <row r="87" spans="1:9" ht="15" customHeight="1" thickBot="1" x14ac:dyDescent="0.25">
      <c r="A87" s="29" t="s">
        <v>93</v>
      </c>
      <c r="B87" s="29">
        <v>80</v>
      </c>
      <c r="C87" s="29">
        <v>7.9857557588907079E-3</v>
      </c>
      <c r="D87" s="29"/>
      <c r="E87" s="29"/>
      <c r="F87" s="29"/>
    </row>
    <row r="88" spans="1:9" ht="15" customHeight="1" thickBot="1" x14ac:dyDescent="0.25"/>
    <row r="89" spans="1:9" ht="15" customHeight="1" x14ac:dyDescent="0.2">
      <c r="A89" s="21"/>
      <c r="B89" s="21" t="s">
        <v>92</v>
      </c>
      <c r="C89" s="21" t="s">
        <v>91</v>
      </c>
      <c r="D89" s="21" t="s">
        <v>90</v>
      </c>
      <c r="E89" s="21" t="s">
        <v>89</v>
      </c>
      <c r="F89" s="21" t="s">
        <v>88</v>
      </c>
      <c r="G89" s="21" t="s">
        <v>87</v>
      </c>
      <c r="H89" s="21" t="s">
        <v>86</v>
      </c>
      <c r="I89" s="21" t="s">
        <v>85</v>
      </c>
    </row>
    <row r="90" spans="1:9" ht="15" customHeight="1" x14ac:dyDescent="0.2">
      <c r="A90" s="28" t="s">
        <v>84</v>
      </c>
      <c r="B90" s="28">
        <f>0.00389064252059596*12</f>
        <v>4.6687710247151522E-2</v>
      </c>
      <c r="C90" s="28">
        <v>1.0215887877370866E-3</v>
      </c>
      <c r="D90" s="28">
        <v>3.8084232788166057</v>
      </c>
      <c r="E90" s="28">
        <v>2.7503386489097659E-4</v>
      </c>
      <c r="F90" s="28">
        <v>1.8572209032759308E-3</v>
      </c>
      <c r="G90" s="28">
        <v>5.9240641379159839E-3</v>
      </c>
      <c r="H90" s="28">
        <v>1.1941541880095916E-3</v>
      </c>
      <c r="I90" s="28">
        <v>6.5871308531823226E-3</v>
      </c>
    </row>
    <row r="91" spans="1:9" ht="15" customHeight="1" thickBot="1" x14ac:dyDescent="0.25">
      <c r="A91" s="29" t="s">
        <v>52</v>
      </c>
      <c r="B91" s="29">
        <v>0.11747006253277101</v>
      </c>
      <c r="C91" s="29">
        <v>2.4052960520426363E-2</v>
      </c>
      <c r="D91" s="29">
        <v>4.8838088946686025</v>
      </c>
      <c r="E91" s="29">
        <v>5.3305304742070066E-6</v>
      </c>
      <c r="F91" s="29">
        <v>6.9593842208231366E-2</v>
      </c>
      <c r="G91" s="29">
        <v>0.16534628285731065</v>
      </c>
      <c r="H91" s="29">
        <v>5.3982161935156009E-2</v>
      </c>
      <c r="I91" s="29">
        <v>0.18095796313038601</v>
      </c>
    </row>
    <row r="97" spans="1:6" ht="15" customHeight="1" x14ac:dyDescent="0.2">
      <c r="A97" s="19" t="s">
        <v>113</v>
      </c>
    </row>
    <row r="98" spans="1:6" ht="15" customHeight="1" x14ac:dyDescent="0.2">
      <c r="A98" s="28" t="s">
        <v>107</v>
      </c>
    </row>
    <row r="99" spans="1:6" ht="15" customHeight="1" thickBot="1" x14ac:dyDescent="0.25"/>
    <row r="100" spans="1:6" ht="15" customHeight="1" x14ac:dyDescent="0.2">
      <c r="A100" s="20" t="s">
        <v>106</v>
      </c>
      <c r="B100" s="20"/>
    </row>
    <row r="101" spans="1:6" ht="15" customHeight="1" x14ac:dyDescent="0.2">
      <c r="A101" s="28" t="s">
        <v>105</v>
      </c>
      <c r="B101" s="28">
        <v>8.1310406295806867E-2</v>
      </c>
    </row>
    <row r="102" spans="1:6" ht="15" customHeight="1" x14ac:dyDescent="0.2">
      <c r="A102" s="28" t="s">
        <v>104</v>
      </c>
      <c r="B102" s="28">
        <v>6.6113821719891892E-3</v>
      </c>
    </row>
    <row r="103" spans="1:6" ht="15" customHeight="1" x14ac:dyDescent="0.2">
      <c r="A103" s="28" t="s">
        <v>103</v>
      </c>
      <c r="B103" s="28">
        <v>-5.9631572941881636E-3</v>
      </c>
    </row>
    <row r="104" spans="1:6" ht="15" customHeight="1" x14ac:dyDescent="0.2">
      <c r="A104" s="28" t="s">
        <v>91</v>
      </c>
      <c r="B104" s="28">
        <v>1.2729525325054041E-2</v>
      </c>
    </row>
    <row r="105" spans="1:6" ht="15" customHeight="1" thickBot="1" x14ac:dyDescent="0.25">
      <c r="A105" s="29" t="s">
        <v>102</v>
      </c>
      <c r="B105" s="29">
        <v>81</v>
      </c>
    </row>
    <row r="107" spans="1:6" ht="15" customHeight="1" thickBot="1" x14ac:dyDescent="0.25">
      <c r="A107" s="28" t="s">
        <v>101</v>
      </c>
    </row>
    <row r="108" spans="1:6" ht="15" customHeight="1" x14ac:dyDescent="0.2">
      <c r="A108" s="21"/>
      <c r="B108" s="21" t="s">
        <v>100</v>
      </c>
      <c r="C108" s="21" t="s">
        <v>99</v>
      </c>
      <c r="D108" s="21" t="s">
        <v>98</v>
      </c>
      <c r="E108" s="21" t="s">
        <v>97</v>
      </c>
      <c r="F108" s="21" t="s">
        <v>96</v>
      </c>
    </row>
    <row r="109" spans="1:6" ht="15" customHeight="1" x14ac:dyDescent="0.2">
      <c r="A109" s="28" t="s">
        <v>95</v>
      </c>
      <c r="B109" s="28">
        <v>1</v>
      </c>
      <c r="C109" s="28">
        <v>8.5197056982887556E-5</v>
      </c>
      <c r="D109" s="28">
        <v>8.5197056982887556E-5</v>
      </c>
      <c r="E109" s="28">
        <v>0.52577529298566383</v>
      </c>
      <c r="F109" s="28">
        <v>0.47053082276904501</v>
      </c>
    </row>
    <row r="110" spans="1:6" ht="15" customHeight="1" x14ac:dyDescent="0.2">
      <c r="A110" s="28" t="s">
        <v>94</v>
      </c>
      <c r="B110" s="28">
        <v>79</v>
      </c>
      <c r="C110" s="28">
        <v>1.2801224385094182E-2</v>
      </c>
      <c r="D110" s="28">
        <v>1.6204081500119217E-4</v>
      </c>
    </row>
    <row r="111" spans="1:6" ht="15" customHeight="1" thickBot="1" x14ac:dyDescent="0.25">
      <c r="A111" s="29" t="s">
        <v>93</v>
      </c>
      <c r="B111" s="29">
        <v>80</v>
      </c>
      <c r="C111" s="29">
        <v>1.288642144207707E-2</v>
      </c>
      <c r="D111" s="29"/>
      <c r="E111" s="29"/>
      <c r="F111" s="29"/>
    </row>
    <row r="112" spans="1:6" ht="15" customHeight="1" thickBot="1" x14ac:dyDescent="0.25"/>
    <row r="113" spans="1:9" ht="15" customHeight="1" x14ac:dyDescent="0.2">
      <c r="A113" s="21"/>
      <c r="B113" s="21" t="s">
        <v>92</v>
      </c>
      <c r="C113" s="21" t="s">
        <v>91</v>
      </c>
      <c r="D113" s="21" t="s">
        <v>90</v>
      </c>
      <c r="E113" s="21" t="s">
        <v>89</v>
      </c>
      <c r="F113" s="21" t="s">
        <v>88</v>
      </c>
      <c r="G113" s="21" t="s">
        <v>87</v>
      </c>
      <c r="H113" s="21" t="s">
        <v>86</v>
      </c>
      <c r="I113" s="21" t="s">
        <v>85</v>
      </c>
    </row>
    <row r="114" spans="1:9" ht="15" customHeight="1" x14ac:dyDescent="0.2">
      <c r="A114" s="28" t="s">
        <v>84</v>
      </c>
      <c r="B114" s="28">
        <f>0.00100841066766985*12</f>
        <v>1.2100928012038199E-2</v>
      </c>
      <c r="C114" s="28">
        <v>1.4758282492207799E-3</v>
      </c>
      <c r="D114" s="28">
        <v>0.68328456797210757</v>
      </c>
      <c r="E114" s="28">
        <v>0.49642614829332643</v>
      </c>
      <c r="F114" s="28">
        <v>-1.9291519812552117E-3</v>
      </c>
      <c r="G114" s="28">
        <v>3.9459733165949171E-3</v>
      </c>
      <c r="H114" s="28">
        <v>-2.8870448254745803E-3</v>
      </c>
      <c r="I114" s="28">
        <v>4.9038661608142853E-3</v>
      </c>
    </row>
    <row r="115" spans="1:9" ht="15" customHeight="1" thickBot="1" x14ac:dyDescent="0.25">
      <c r="A115" s="29" t="s">
        <v>52</v>
      </c>
      <c r="B115" s="29">
        <v>2.5195810118837682E-2</v>
      </c>
      <c r="C115" s="29">
        <v>3.474787413443408E-2</v>
      </c>
      <c r="D115" s="29">
        <v>0.72510364292673102</v>
      </c>
      <c r="E115" s="29">
        <v>0.47053082276906533</v>
      </c>
      <c r="F115" s="29">
        <v>-4.3968103257096679E-2</v>
      </c>
      <c r="G115" s="29">
        <v>9.4359723494772035E-2</v>
      </c>
      <c r="H115" s="29">
        <v>-6.6521364453163118E-2</v>
      </c>
      <c r="I115" s="29">
        <v>0.1169129846908385</v>
      </c>
    </row>
    <row r="121" spans="1:9" ht="15" customHeight="1" x14ac:dyDescent="0.2">
      <c r="A121" s="19" t="s">
        <v>112</v>
      </c>
    </row>
    <row r="122" spans="1:9" ht="15" customHeight="1" x14ac:dyDescent="0.2">
      <c r="A122" s="28" t="s">
        <v>107</v>
      </c>
    </row>
    <row r="123" spans="1:9" ht="15" customHeight="1" thickBot="1" x14ac:dyDescent="0.25"/>
    <row r="124" spans="1:9" ht="15" customHeight="1" x14ac:dyDescent="0.2">
      <c r="A124" s="20" t="s">
        <v>106</v>
      </c>
      <c r="B124" s="20"/>
    </row>
    <row r="125" spans="1:9" ht="15" customHeight="1" x14ac:dyDescent="0.2">
      <c r="A125" s="28" t="s">
        <v>105</v>
      </c>
      <c r="B125" s="28">
        <v>0.61828497836544982</v>
      </c>
    </row>
    <row r="126" spans="1:9" ht="15" customHeight="1" x14ac:dyDescent="0.2">
      <c r="A126" s="28" t="s">
        <v>104</v>
      </c>
      <c r="B126" s="28">
        <v>0.38227631447236471</v>
      </c>
    </row>
    <row r="127" spans="1:9" ht="15" customHeight="1" x14ac:dyDescent="0.2">
      <c r="A127" s="28" t="s">
        <v>103</v>
      </c>
      <c r="B127" s="28">
        <v>0.37445702731378705</v>
      </c>
    </row>
    <row r="128" spans="1:9" ht="15" customHeight="1" x14ac:dyDescent="0.2">
      <c r="A128" s="28" t="s">
        <v>91</v>
      </c>
      <c r="B128" s="28">
        <v>2.8781391840499534E-2</v>
      </c>
    </row>
    <row r="129" spans="1:9" ht="15" customHeight="1" thickBot="1" x14ac:dyDescent="0.25">
      <c r="A129" s="29" t="s">
        <v>102</v>
      </c>
      <c r="B129" s="29">
        <v>81</v>
      </c>
    </row>
    <row r="131" spans="1:9" ht="15" customHeight="1" thickBot="1" x14ac:dyDescent="0.25">
      <c r="A131" s="28" t="s">
        <v>101</v>
      </c>
    </row>
    <row r="132" spans="1:9" ht="15" customHeight="1" x14ac:dyDescent="0.2">
      <c r="A132" s="21"/>
      <c r="B132" s="21" t="s">
        <v>100</v>
      </c>
      <c r="C132" s="21" t="s">
        <v>99</v>
      </c>
      <c r="D132" s="21" t="s">
        <v>98</v>
      </c>
      <c r="E132" s="21" t="s">
        <v>97</v>
      </c>
      <c r="F132" s="21" t="s">
        <v>96</v>
      </c>
    </row>
    <row r="133" spans="1:9" ht="15" customHeight="1" x14ac:dyDescent="0.2">
      <c r="A133" s="28" t="s">
        <v>95</v>
      </c>
      <c r="B133" s="28">
        <v>1</v>
      </c>
      <c r="C133" s="28">
        <v>4.0498022006992623E-2</v>
      </c>
      <c r="D133" s="28">
        <v>4.0498022006992623E-2</v>
      </c>
      <c r="E133" s="28">
        <v>48.888895716409685</v>
      </c>
      <c r="F133" s="28">
        <v>7.7385126154539714E-10</v>
      </c>
    </row>
    <row r="134" spans="1:9" ht="15" customHeight="1" x14ac:dyDescent="0.2">
      <c r="A134" s="28" t="s">
        <v>94</v>
      </c>
      <c r="B134" s="28">
        <v>79</v>
      </c>
      <c r="C134" s="28">
        <v>6.5441112785833477E-2</v>
      </c>
      <c r="D134" s="28">
        <v>8.2836851627637311E-4</v>
      </c>
    </row>
    <row r="135" spans="1:9" ht="15" customHeight="1" thickBot="1" x14ac:dyDescent="0.25">
      <c r="A135" s="29" t="s">
        <v>93</v>
      </c>
      <c r="B135" s="29">
        <v>80</v>
      </c>
      <c r="C135" s="29">
        <v>0.1059391347928261</v>
      </c>
      <c r="D135" s="29"/>
      <c r="E135" s="29"/>
      <c r="F135" s="29"/>
    </row>
    <row r="136" spans="1:9" ht="15" customHeight="1" thickBot="1" x14ac:dyDescent="0.25"/>
    <row r="137" spans="1:9" ht="15" customHeight="1" x14ac:dyDescent="0.2">
      <c r="A137" s="21"/>
      <c r="B137" s="21" t="s">
        <v>92</v>
      </c>
      <c r="C137" s="21" t="s">
        <v>91</v>
      </c>
      <c r="D137" s="21" t="s">
        <v>90</v>
      </c>
      <c r="E137" s="21" t="s">
        <v>89</v>
      </c>
      <c r="F137" s="21" t="s">
        <v>88</v>
      </c>
      <c r="G137" s="21" t="s">
        <v>87</v>
      </c>
      <c r="H137" s="21" t="s">
        <v>86</v>
      </c>
      <c r="I137" s="21" t="s">
        <v>85</v>
      </c>
    </row>
    <row r="138" spans="1:9" ht="15" customHeight="1" x14ac:dyDescent="0.2">
      <c r="A138" s="28" t="s">
        <v>84</v>
      </c>
      <c r="B138" s="28">
        <f>0.00315475090695205*12</f>
        <v>3.7857010883424601E-2</v>
      </c>
      <c r="C138" s="28">
        <v>3.3368401448952961E-3</v>
      </c>
      <c r="D138" s="28">
        <v>0.94543063795794691</v>
      </c>
      <c r="E138" s="28">
        <v>0.34732180193965256</v>
      </c>
      <c r="F138" s="28">
        <v>-3.487063260959127E-3</v>
      </c>
      <c r="G138" s="28">
        <v>9.7965650748632234E-3</v>
      </c>
      <c r="H138" s="28">
        <v>-5.6528540965707589E-3</v>
      </c>
      <c r="I138" s="28">
        <v>1.1962355910474854E-2</v>
      </c>
    </row>
    <row r="139" spans="1:9" ht="15" customHeight="1" thickBot="1" x14ac:dyDescent="0.25">
      <c r="A139" s="29" t="s">
        <v>52</v>
      </c>
      <c r="B139" s="29">
        <v>0.54932951803932606</v>
      </c>
      <c r="C139" s="29">
        <v>7.8564766206886044E-2</v>
      </c>
      <c r="D139" s="29">
        <v>6.9920594760349255</v>
      </c>
      <c r="E139" s="29">
        <v>7.7385126154537439E-10</v>
      </c>
      <c r="F139" s="29">
        <v>0.39295026262614885</v>
      </c>
      <c r="G139" s="29">
        <v>0.70570877345250327</v>
      </c>
      <c r="H139" s="29">
        <v>0.34195745408146994</v>
      </c>
      <c r="I139" s="29">
        <v>0.75670158199718218</v>
      </c>
    </row>
    <row r="145" spans="1:6" ht="15" customHeight="1" x14ac:dyDescent="0.2">
      <c r="A145" s="19" t="s">
        <v>111</v>
      </c>
    </row>
    <row r="146" spans="1:6" ht="15" customHeight="1" x14ac:dyDescent="0.2">
      <c r="A146" s="28" t="s">
        <v>107</v>
      </c>
    </row>
    <row r="147" spans="1:6" ht="15" customHeight="1" thickBot="1" x14ac:dyDescent="0.25"/>
    <row r="148" spans="1:6" ht="15" customHeight="1" x14ac:dyDescent="0.2">
      <c r="A148" s="20" t="s">
        <v>106</v>
      </c>
      <c r="B148" s="20"/>
    </row>
    <row r="149" spans="1:6" ht="15" customHeight="1" x14ac:dyDescent="0.2">
      <c r="A149" s="28" t="s">
        <v>105</v>
      </c>
      <c r="B149" s="28">
        <v>0.50178074004846329</v>
      </c>
    </row>
    <row r="150" spans="1:6" ht="15" customHeight="1" x14ac:dyDescent="0.2">
      <c r="A150" s="28" t="s">
        <v>104</v>
      </c>
      <c r="B150" s="28">
        <v>0.25178391108358344</v>
      </c>
    </row>
    <row r="151" spans="1:6" ht="15" customHeight="1" x14ac:dyDescent="0.2">
      <c r="A151" s="28" t="s">
        <v>103</v>
      </c>
      <c r="B151" s="28">
        <v>0.24231282135046422</v>
      </c>
    </row>
    <row r="152" spans="1:6" ht="15" customHeight="1" x14ac:dyDescent="0.2">
      <c r="A152" s="28" t="s">
        <v>91</v>
      </c>
      <c r="B152" s="28">
        <v>5.2263149191421485E-2</v>
      </c>
    </row>
    <row r="153" spans="1:6" ht="15" customHeight="1" thickBot="1" x14ac:dyDescent="0.25">
      <c r="A153" s="29" t="s">
        <v>102</v>
      </c>
      <c r="B153" s="29">
        <v>81</v>
      </c>
    </row>
    <row r="155" spans="1:6" ht="15" customHeight="1" thickBot="1" x14ac:dyDescent="0.25">
      <c r="A155" s="28" t="s">
        <v>101</v>
      </c>
    </row>
    <row r="156" spans="1:6" ht="15" customHeight="1" x14ac:dyDescent="0.2">
      <c r="A156" s="21"/>
      <c r="B156" s="21" t="s">
        <v>100</v>
      </c>
      <c r="C156" s="21" t="s">
        <v>99</v>
      </c>
      <c r="D156" s="21" t="s">
        <v>98</v>
      </c>
      <c r="E156" s="21" t="s">
        <v>97</v>
      </c>
      <c r="F156" s="21" t="s">
        <v>96</v>
      </c>
    </row>
    <row r="157" spans="1:6" ht="15" customHeight="1" x14ac:dyDescent="0.2">
      <c r="A157" s="28" t="s">
        <v>95</v>
      </c>
      <c r="B157" s="28">
        <v>1</v>
      </c>
      <c r="C157" s="28">
        <v>7.261380163706288E-2</v>
      </c>
      <c r="D157" s="28">
        <v>7.261380163706288E-2</v>
      </c>
      <c r="E157" s="28">
        <v>26.584471077612868</v>
      </c>
      <c r="F157" s="28">
        <v>1.8221945084203722E-6</v>
      </c>
    </row>
    <row r="158" spans="1:6" ht="15" customHeight="1" x14ac:dyDescent="0.2">
      <c r="A158" s="28" t="s">
        <v>94</v>
      </c>
      <c r="B158" s="28">
        <v>79</v>
      </c>
      <c r="C158" s="28">
        <v>0.21578350430897764</v>
      </c>
      <c r="D158" s="28">
        <v>2.7314367634047802E-3</v>
      </c>
    </row>
    <row r="159" spans="1:6" ht="15" customHeight="1" thickBot="1" x14ac:dyDescent="0.25">
      <c r="A159" s="29" t="s">
        <v>93</v>
      </c>
      <c r="B159" s="29">
        <v>80</v>
      </c>
      <c r="C159" s="29">
        <v>0.28839730594604052</v>
      </c>
      <c r="D159" s="29"/>
      <c r="E159" s="29"/>
      <c r="F159" s="29"/>
    </row>
    <row r="160" spans="1:6" ht="15" customHeight="1" thickBot="1" x14ac:dyDescent="0.25"/>
    <row r="161" spans="1:9" ht="15" customHeight="1" x14ac:dyDescent="0.2">
      <c r="A161" s="21"/>
      <c r="B161" s="21" t="s">
        <v>92</v>
      </c>
      <c r="C161" s="21" t="s">
        <v>91</v>
      </c>
      <c r="D161" s="21" t="s">
        <v>90</v>
      </c>
      <c r="E161" s="21" t="s">
        <v>89</v>
      </c>
      <c r="F161" s="21" t="s">
        <v>88</v>
      </c>
      <c r="G161" s="21" t="s">
        <v>87</v>
      </c>
      <c r="H161" s="21" t="s">
        <v>86</v>
      </c>
      <c r="I161" s="21" t="s">
        <v>85</v>
      </c>
    </row>
    <row r="162" spans="1:9" ht="15" customHeight="1" x14ac:dyDescent="0.2">
      <c r="A162" s="28" t="s">
        <v>84</v>
      </c>
      <c r="B162" s="28">
        <f>-0.00699763321109945*12</f>
        <v>-8.3971598533193401E-2</v>
      </c>
      <c r="C162" s="28">
        <v>6.0592543712632537E-3</v>
      </c>
      <c r="D162" s="28">
        <v>-1.1548670483758821</v>
      </c>
      <c r="E162" s="28">
        <v>0.25162619016234827</v>
      </c>
      <c r="F162" s="28">
        <v>-1.9058277348218224E-2</v>
      </c>
      <c r="G162" s="28">
        <v>5.0630109260193156E-3</v>
      </c>
      <c r="H162" s="28">
        <v>-2.2991063162964964E-2</v>
      </c>
      <c r="I162" s="28">
        <v>8.9957967407660565E-3</v>
      </c>
    </row>
    <row r="163" spans="1:9" ht="15" customHeight="1" thickBot="1" x14ac:dyDescent="0.25">
      <c r="A163" s="29" t="s">
        <v>52</v>
      </c>
      <c r="B163" s="29">
        <v>0.73557272549888486</v>
      </c>
      <c r="C163" s="29">
        <v>0.1426630831550629</v>
      </c>
      <c r="D163" s="29">
        <v>5.156013099053653</v>
      </c>
      <c r="E163" s="29">
        <v>1.8221945084203825E-6</v>
      </c>
      <c r="F163" s="29">
        <v>0.4516089616408116</v>
      </c>
      <c r="G163" s="29">
        <v>1.0195364893569581</v>
      </c>
      <c r="H163" s="29">
        <v>0.35901285734435279</v>
      </c>
      <c r="I163" s="29">
        <v>1.112132593653417</v>
      </c>
    </row>
    <row r="169" spans="1:9" ht="15" customHeight="1" x14ac:dyDescent="0.2">
      <c r="A169" s="19" t="s">
        <v>110</v>
      </c>
    </row>
    <row r="170" spans="1:9" ht="15" customHeight="1" x14ac:dyDescent="0.2">
      <c r="A170" s="28" t="s">
        <v>107</v>
      </c>
    </row>
    <row r="171" spans="1:9" ht="15" customHeight="1" thickBot="1" x14ac:dyDescent="0.25"/>
    <row r="172" spans="1:9" ht="15" customHeight="1" x14ac:dyDescent="0.2">
      <c r="A172" s="20" t="s">
        <v>106</v>
      </c>
      <c r="B172" s="20"/>
    </row>
    <row r="173" spans="1:9" ht="15" customHeight="1" x14ac:dyDescent="0.2">
      <c r="A173" s="28" t="s">
        <v>105</v>
      </c>
      <c r="B173" s="28">
        <v>0.36088402420167859</v>
      </c>
    </row>
    <row r="174" spans="1:9" ht="15" customHeight="1" x14ac:dyDescent="0.2">
      <c r="A174" s="28" t="s">
        <v>104</v>
      </c>
      <c r="B174" s="28">
        <v>0.13023727892399775</v>
      </c>
    </row>
    <row r="175" spans="1:9" ht="15" customHeight="1" x14ac:dyDescent="0.2">
      <c r="A175" s="28" t="s">
        <v>103</v>
      </c>
      <c r="B175" s="28">
        <v>0.11922762422683315</v>
      </c>
    </row>
    <row r="176" spans="1:9" ht="15" customHeight="1" x14ac:dyDescent="0.2">
      <c r="A176" s="28" t="s">
        <v>91</v>
      </c>
      <c r="B176" s="28">
        <v>3.9117465864961183E-2</v>
      </c>
    </row>
    <row r="177" spans="1:9" ht="15" customHeight="1" thickBot="1" x14ac:dyDescent="0.25">
      <c r="A177" s="29" t="s">
        <v>102</v>
      </c>
      <c r="B177" s="29">
        <v>81</v>
      </c>
    </row>
    <row r="179" spans="1:9" ht="15" customHeight="1" thickBot="1" x14ac:dyDescent="0.25">
      <c r="A179" s="28" t="s">
        <v>101</v>
      </c>
    </row>
    <row r="180" spans="1:9" ht="15" customHeight="1" x14ac:dyDescent="0.2">
      <c r="A180" s="21"/>
      <c r="B180" s="21" t="s">
        <v>100</v>
      </c>
      <c r="C180" s="21" t="s">
        <v>99</v>
      </c>
      <c r="D180" s="21" t="s">
        <v>98</v>
      </c>
      <c r="E180" s="21" t="s">
        <v>97</v>
      </c>
      <c r="F180" s="21" t="s">
        <v>96</v>
      </c>
    </row>
    <row r="181" spans="1:9" ht="15" customHeight="1" x14ac:dyDescent="0.2">
      <c r="A181" s="28" t="s">
        <v>95</v>
      </c>
      <c r="B181" s="28">
        <v>1</v>
      </c>
      <c r="C181" s="28">
        <v>1.8101019665844875E-2</v>
      </c>
      <c r="D181" s="28">
        <v>1.8101019665844875E-2</v>
      </c>
      <c r="E181" s="28">
        <v>11.829369994459402</v>
      </c>
      <c r="F181" s="28">
        <v>9.3375658500778982E-4</v>
      </c>
    </row>
    <row r="182" spans="1:9" ht="15" customHeight="1" x14ac:dyDescent="0.2">
      <c r="A182" s="28" t="s">
        <v>94</v>
      </c>
      <c r="B182" s="28">
        <v>79</v>
      </c>
      <c r="C182" s="28">
        <v>0.12088391472001589</v>
      </c>
      <c r="D182" s="28">
        <v>1.5301761356964036E-3</v>
      </c>
    </row>
    <row r="183" spans="1:9" ht="15" customHeight="1" thickBot="1" x14ac:dyDescent="0.25">
      <c r="A183" s="29" t="s">
        <v>93</v>
      </c>
      <c r="B183" s="29">
        <v>80</v>
      </c>
      <c r="C183" s="29">
        <v>0.13898493438586076</v>
      </c>
      <c r="D183" s="29"/>
      <c r="E183" s="29"/>
      <c r="F183" s="29"/>
    </row>
    <row r="184" spans="1:9" ht="15" customHeight="1" thickBot="1" x14ac:dyDescent="0.25"/>
    <row r="185" spans="1:9" ht="15" customHeight="1" x14ac:dyDescent="0.2">
      <c r="A185" s="21"/>
      <c r="B185" s="21" t="s">
        <v>92</v>
      </c>
      <c r="C185" s="21" t="s">
        <v>91</v>
      </c>
      <c r="D185" s="21" t="s">
        <v>90</v>
      </c>
      <c r="E185" s="21" t="s">
        <v>89</v>
      </c>
      <c r="F185" s="21" t="s">
        <v>88</v>
      </c>
      <c r="G185" s="21" t="s">
        <v>87</v>
      </c>
      <c r="H185" s="21" t="s">
        <v>86</v>
      </c>
      <c r="I185" s="21" t="s">
        <v>85</v>
      </c>
    </row>
    <row r="186" spans="1:9" ht="15" customHeight="1" x14ac:dyDescent="0.2">
      <c r="A186" s="28" t="s">
        <v>84</v>
      </c>
      <c r="B186" s="28">
        <f>0.00198374385559314*12</f>
        <v>2.3804926267117679E-2</v>
      </c>
      <c r="C186" s="28">
        <v>4.5351778394921568E-3</v>
      </c>
      <c r="D186" s="28">
        <v>0.43741258354165824</v>
      </c>
      <c r="E186" s="28">
        <v>0.66300563539567148</v>
      </c>
      <c r="F186" s="28">
        <v>-7.0433018284550434E-3</v>
      </c>
      <c r="G186" s="28">
        <v>1.1010789539641325E-2</v>
      </c>
      <c r="H186" s="28">
        <v>-9.9868790380697042E-3</v>
      </c>
      <c r="I186" s="28">
        <v>1.3954366749255986E-2</v>
      </c>
    </row>
    <row r="187" spans="1:9" ht="15" customHeight="1" thickBot="1" x14ac:dyDescent="0.25">
      <c r="A187" s="29" t="s">
        <v>52</v>
      </c>
      <c r="B187" s="29">
        <v>0.36725485894082432</v>
      </c>
      <c r="C187" s="29">
        <v>0.10677921961932405</v>
      </c>
      <c r="D187" s="29">
        <v>3.4393851186599371</v>
      </c>
      <c r="E187" s="29">
        <v>9.3375658500777984E-4</v>
      </c>
      <c r="F187" s="29">
        <v>0.1547161388013317</v>
      </c>
      <c r="G187" s="29">
        <v>0.57979357908031692</v>
      </c>
      <c r="H187" s="29">
        <v>8.541061463977484E-2</v>
      </c>
      <c r="I187" s="29">
        <v>0.64909910324187381</v>
      </c>
    </row>
    <row r="193" spans="1:6" ht="15" customHeight="1" x14ac:dyDescent="0.2">
      <c r="A193" s="19" t="s">
        <v>109</v>
      </c>
    </row>
    <row r="194" spans="1:6" ht="15" customHeight="1" x14ac:dyDescent="0.2">
      <c r="A194" s="28" t="s">
        <v>107</v>
      </c>
    </row>
    <row r="195" spans="1:6" ht="15" customHeight="1" thickBot="1" x14ac:dyDescent="0.25"/>
    <row r="196" spans="1:6" ht="15" customHeight="1" x14ac:dyDescent="0.2">
      <c r="A196" s="20" t="s">
        <v>106</v>
      </c>
      <c r="B196" s="20"/>
    </row>
    <row r="197" spans="1:6" ht="15" customHeight="1" x14ac:dyDescent="0.2">
      <c r="A197" s="28" t="s">
        <v>105</v>
      </c>
      <c r="B197" s="28">
        <v>1.2708782338631978E-2</v>
      </c>
    </row>
    <row r="198" spans="1:6" ht="15" customHeight="1" x14ac:dyDescent="0.2">
      <c r="A198" s="28" t="s">
        <v>104</v>
      </c>
      <c r="B198" s="28">
        <v>1.6151314853072411E-4</v>
      </c>
    </row>
    <row r="199" spans="1:6" ht="15" customHeight="1" x14ac:dyDescent="0.2">
      <c r="A199" s="28" t="s">
        <v>103</v>
      </c>
      <c r="B199" s="28">
        <v>-1.2494670229335975E-2</v>
      </c>
    </row>
    <row r="200" spans="1:6" ht="15" customHeight="1" x14ac:dyDescent="0.2">
      <c r="A200" s="28" t="s">
        <v>91</v>
      </c>
      <c r="B200" s="28">
        <v>3.2216171149667537E-2</v>
      </c>
    </row>
    <row r="201" spans="1:6" ht="15" customHeight="1" thickBot="1" x14ac:dyDescent="0.25">
      <c r="A201" s="29" t="s">
        <v>102</v>
      </c>
      <c r="B201" s="29">
        <v>81</v>
      </c>
    </row>
    <row r="203" spans="1:6" ht="15" customHeight="1" thickBot="1" x14ac:dyDescent="0.25">
      <c r="A203" s="28" t="s">
        <v>101</v>
      </c>
    </row>
    <row r="204" spans="1:6" ht="15" customHeight="1" x14ac:dyDescent="0.2">
      <c r="A204" s="21"/>
      <c r="B204" s="21" t="s">
        <v>100</v>
      </c>
      <c r="C204" s="21" t="s">
        <v>99</v>
      </c>
      <c r="D204" s="21" t="s">
        <v>98</v>
      </c>
      <c r="E204" s="21" t="s">
        <v>97</v>
      </c>
      <c r="F204" s="21" t="s">
        <v>96</v>
      </c>
    </row>
    <row r="205" spans="1:6" ht="15" customHeight="1" x14ac:dyDescent="0.2">
      <c r="A205" s="28" t="s">
        <v>95</v>
      </c>
      <c r="B205" s="28">
        <v>1</v>
      </c>
      <c r="C205" s="28">
        <v>1.324503078904693E-5</v>
      </c>
      <c r="D205" s="28">
        <v>1.324503078904693E-5</v>
      </c>
      <c r="E205" s="28">
        <v>1.276159990010736E-2</v>
      </c>
      <c r="F205" s="28">
        <v>0.91034309275413272</v>
      </c>
    </row>
    <row r="206" spans="1:6" ht="15" customHeight="1" x14ac:dyDescent="0.2">
      <c r="A206" s="28" t="s">
        <v>94</v>
      </c>
      <c r="B206" s="28">
        <v>79</v>
      </c>
      <c r="C206" s="28">
        <v>8.1992653000028989E-2</v>
      </c>
      <c r="D206" s="28">
        <v>1.0378816835446708E-3</v>
      </c>
    </row>
    <row r="207" spans="1:6" ht="15" customHeight="1" thickBot="1" x14ac:dyDescent="0.25">
      <c r="A207" s="29" t="s">
        <v>93</v>
      </c>
      <c r="B207" s="29">
        <v>80</v>
      </c>
      <c r="C207" s="29">
        <v>8.2005898030818036E-2</v>
      </c>
      <c r="D207" s="29"/>
      <c r="E207" s="29"/>
      <c r="F207" s="29"/>
    </row>
    <row r="208" spans="1:6" ht="15" customHeight="1" thickBot="1" x14ac:dyDescent="0.25"/>
    <row r="209" spans="1:9" ht="15" customHeight="1" x14ac:dyDescent="0.2">
      <c r="A209" s="21"/>
      <c r="B209" s="21" t="s">
        <v>92</v>
      </c>
      <c r="C209" s="21" t="s">
        <v>91</v>
      </c>
      <c r="D209" s="21" t="s">
        <v>90</v>
      </c>
      <c r="E209" s="21" t="s">
        <v>89</v>
      </c>
      <c r="F209" s="21" t="s">
        <v>88</v>
      </c>
      <c r="G209" s="21" t="s">
        <v>87</v>
      </c>
      <c r="H209" s="21" t="s">
        <v>86</v>
      </c>
      <c r="I209" s="21" t="s">
        <v>85</v>
      </c>
    </row>
    <row r="210" spans="1:9" ht="15" customHeight="1" x14ac:dyDescent="0.2">
      <c r="A210" s="28" t="s">
        <v>84</v>
      </c>
      <c r="B210" s="28">
        <f>-0.00108923168518652*12</f>
        <v>-1.3070780222238239E-2</v>
      </c>
      <c r="C210" s="28">
        <v>3.735059576089023E-3</v>
      </c>
      <c r="D210" s="28">
        <v>-0.29162364428121268</v>
      </c>
      <c r="E210" s="28">
        <v>0.77133877992999467</v>
      </c>
      <c r="F210" s="28">
        <v>-8.5236818036349728E-3</v>
      </c>
      <c r="G210" s="28">
        <v>6.3452184332619286E-3</v>
      </c>
      <c r="H210" s="28">
        <v>-1.0947938720086961E-2</v>
      </c>
      <c r="I210" s="28">
        <v>8.7694753497139181E-3</v>
      </c>
    </row>
    <row r="211" spans="1:9" ht="15" customHeight="1" thickBot="1" x14ac:dyDescent="0.25">
      <c r="A211" s="29" t="s">
        <v>52</v>
      </c>
      <c r="B211" s="29">
        <v>9.9344199900113905E-3</v>
      </c>
      <c r="C211" s="29">
        <v>8.7940707262568849E-2</v>
      </c>
      <c r="D211" s="29">
        <v>0.11296725144988554</v>
      </c>
      <c r="E211" s="29">
        <v>0.91034309275401282</v>
      </c>
      <c r="F211" s="29">
        <v>-0.165107179268555</v>
      </c>
      <c r="G211" s="29">
        <v>0.18497601924857776</v>
      </c>
      <c r="H211" s="29">
        <v>-0.2221854837710481</v>
      </c>
      <c r="I211" s="29">
        <v>0.24205432375107086</v>
      </c>
    </row>
    <row r="217" spans="1:9" ht="15" customHeight="1" x14ac:dyDescent="0.2">
      <c r="A217" s="19" t="s">
        <v>108</v>
      </c>
    </row>
    <row r="218" spans="1:9" ht="15" customHeight="1" x14ac:dyDescent="0.2">
      <c r="A218" s="28" t="s">
        <v>107</v>
      </c>
    </row>
    <row r="219" spans="1:9" ht="15" customHeight="1" thickBot="1" x14ac:dyDescent="0.25"/>
    <row r="220" spans="1:9" ht="15" customHeight="1" x14ac:dyDescent="0.2">
      <c r="A220" s="20" t="s">
        <v>106</v>
      </c>
      <c r="B220" s="20"/>
    </row>
    <row r="221" spans="1:9" ht="15" customHeight="1" x14ac:dyDescent="0.2">
      <c r="A221" s="28" t="s">
        <v>105</v>
      </c>
      <c r="B221" s="28">
        <v>0.75926180013609157</v>
      </c>
    </row>
    <row r="222" spans="1:9" ht="15" customHeight="1" x14ac:dyDescent="0.2">
      <c r="A222" s="28" t="s">
        <v>104</v>
      </c>
      <c r="B222" s="28">
        <v>0.57647848114589828</v>
      </c>
    </row>
    <row r="223" spans="1:9" ht="15" customHeight="1" x14ac:dyDescent="0.2">
      <c r="A223" s="28" t="s">
        <v>103</v>
      </c>
      <c r="B223" s="28">
        <v>0.57111744926166907</v>
      </c>
    </row>
    <row r="224" spans="1:9" ht="15" customHeight="1" x14ac:dyDescent="0.2">
      <c r="A224" s="28" t="s">
        <v>91</v>
      </c>
      <c r="B224" s="28">
        <v>3.5088310267314383E-2</v>
      </c>
    </row>
    <row r="225" spans="1:9" ht="15" customHeight="1" thickBot="1" x14ac:dyDescent="0.25">
      <c r="A225" s="29" t="s">
        <v>102</v>
      </c>
      <c r="B225" s="29">
        <v>81</v>
      </c>
    </row>
    <row r="227" spans="1:9" ht="15" customHeight="1" thickBot="1" x14ac:dyDescent="0.25">
      <c r="A227" s="28" t="s">
        <v>101</v>
      </c>
    </row>
    <row r="228" spans="1:9" ht="15" customHeight="1" x14ac:dyDescent="0.2">
      <c r="A228" s="21"/>
      <c r="B228" s="21" t="s">
        <v>100</v>
      </c>
      <c r="C228" s="21" t="s">
        <v>99</v>
      </c>
      <c r="D228" s="21" t="s">
        <v>98</v>
      </c>
      <c r="E228" s="21" t="s">
        <v>97</v>
      </c>
      <c r="F228" s="21" t="s">
        <v>96</v>
      </c>
    </row>
    <row r="229" spans="1:9" ht="15" customHeight="1" x14ac:dyDescent="0.2">
      <c r="A229" s="28" t="s">
        <v>95</v>
      </c>
      <c r="B229" s="28">
        <v>1</v>
      </c>
      <c r="C229" s="28">
        <v>0.13239135269653243</v>
      </c>
      <c r="D229" s="28">
        <v>0.13239135269653243</v>
      </c>
      <c r="E229" s="28">
        <v>107.53125398148799</v>
      </c>
      <c r="F229" s="28">
        <v>2.1334692117999302E-16</v>
      </c>
    </row>
    <row r="230" spans="1:9" ht="15" customHeight="1" x14ac:dyDescent="0.2">
      <c r="A230" s="28" t="s">
        <v>94</v>
      </c>
      <c r="B230" s="28">
        <v>79</v>
      </c>
      <c r="C230" s="28">
        <v>9.726397187581029E-2</v>
      </c>
      <c r="D230" s="28">
        <v>1.2311895174153202E-3</v>
      </c>
    </row>
    <row r="231" spans="1:9" ht="15" customHeight="1" thickBot="1" x14ac:dyDescent="0.25">
      <c r="A231" s="29" t="s">
        <v>93</v>
      </c>
      <c r="B231" s="29">
        <v>80</v>
      </c>
      <c r="C231" s="29">
        <v>0.22965532457234272</v>
      </c>
      <c r="D231" s="29"/>
      <c r="E231" s="29"/>
      <c r="F231" s="29"/>
    </row>
    <row r="232" spans="1:9" ht="15" customHeight="1" thickBot="1" x14ac:dyDescent="0.25"/>
    <row r="233" spans="1:9" ht="15" customHeight="1" x14ac:dyDescent="0.2">
      <c r="A233" s="21"/>
      <c r="B233" s="21" t="s">
        <v>92</v>
      </c>
      <c r="C233" s="21" t="s">
        <v>91</v>
      </c>
      <c r="D233" s="21" t="s">
        <v>90</v>
      </c>
      <c r="E233" s="21" t="s">
        <v>89</v>
      </c>
      <c r="F233" s="21" t="s">
        <v>88</v>
      </c>
      <c r="G233" s="21" t="s">
        <v>87</v>
      </c>
      <c r="H233" s="21" t="s">
        <v>86</v>
      </c>
      <c r="I233" s="21" t="s">
        <v>85</v>
      </c>
    </row>
    <row r="234" spans="1:9" ht="15" customHeight="1" x14ac:dyDescent="0.2">
      <c r="A234" s="28" t="s">
        <v>84</v>
      </c>
      <c r="B234" s="28">
        <f>0.00611546112038496*12</f>
        <v>7.3385533444619511E-2</v>
      </c>
      <c r="C234" s="28">
        <v>4.0680479583952017E-3</v>
      </c>
      <c r="D234" s="28">
        <v>1.5032913040674758</v>
      </c>
      <c r="E234" s="28">
        <v>0.13675118606305628</v>
      </c>
      <c r="F234" s="28">
        <v>-1.9817857936290191E-3</v>
      </c>
      <c r="G234" s="28">
        <v>1.4212708034398929E-2</v>
      </c>
      <c r="H234" s="28">
        <v>-4.6221702905008049E-3</v>
      </c>
      <c r="I234" s="28">
        <v>1.6853092531270715E-2</v>
      </c>
    </row>
    <row r="235" spans="1:9" ht="15" customHeight="1" thickBot="1" x14ac:dyDescent="0.25">
      <c r="A235" s="29" t="s">
        <v>52</v>
      </c>
      <c r="B235" s="29">
        <v>-0.99322087801681114</v>
      </c>
      <c r="C235" s="29">
        <v>9.5780805460115234E-2</v>
      </c>
      <c r="D235" s="29">
        <v>-10.369727767954565</v>
      </c>
      <c r="E235" s="29">
        <v>2.1334692117999613E-16</v>
      </c>
      <c r="F235" s="29">
        <v>-1.1838678023809086</v>
      </c>
      <c r="G235" s="29">
        <v>-0.80257395365271367</v>
      </c>
      <c r="H235" s="29">
        <v>-1.2460347572499819</v>
      </c>
      <c r="I235" s="29">
        <v>-0.74040699878364036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1A6A-F3C5-6645-872C-D6C47C576052}">
  <dimension ref="A1:I265"/>
  <sheetViews>
    <sheetView zoomScaleNormal="100" workbookViewId="0">
      <selection activeCell="C29" sqref="C29"/>
    </sheetView>
  </sheetViews>
  <sheetFormatPr baseColWidth="10" defaultRowHeight="15" customHeight="1" x14ac:dyDescent="0.2"/>
  <cols>
    <col min="1" max="16384" width="10.83203125" style="24"/>
  </cols>
  <sheetData>
    <row r="1" spans="1:6" ht="15" customHeight="1" x14ac:dyDescent="0.2">
      <c r="A1" s="23" t="s">
        <v>117</v>
      </c>
    </row>
    <row r="2" spans="1:6" ht="15" customHeight="1" x14ac:dyDescent="0.2">
      <c r="A2" s="24" t="s">
        <v>107</v>
      </c>
    </row>
    <row r="3" spans="1:6" ht="15" customHeight="1" thickBot="1" x14ac:dyDescent="0.25"/>
    <row r="4" spans="1:6" ht="15" customHeight="1" x14ac:dyDescent="0.2">
      <c r="A4" s="25" t="s">
        <v>106</v>
      </c>
      <c r="B4" s="25"/>
    </row>
    <row r="5" spans="1:6" ht="15" customHeight="1" x14ac:dyDescent="0.2">
      <c r="A5" s="24" t="s">
        <v>105</v>
      </c>
      <c r="B5" s="24">
        <v>0.62171023751458032</v>
      </c>
    </row>
    <row r="6" spans="1:6" ht="15" customHeight="1" x14ac:dyDescent="0.2">
      <c r="A6" s="24" t="s">
        <v>104</v>
      </c>
      <c r="B6" s="24">
        <v>0.38652361943043584</v>
      </c>
    </row>
    <row r="7" spans="1:6" ht="15" customHeight="1" x14ac:dyDescent="0.2">
      <c r="A7" s="24" t="s">
        <v>103</v>
      </c>
      <c r="B7" s="24">
        <v>0.35423538887414296</v>
      </c>
    </row>
    <row r="8" spans="1:6" ht="15" customHeight="1" x14ac:dyDescent="0.2">
      <c r="A8" s="24" t="s">
        <v>91</v>
      </c>
      <c r="B8" s="24">
        <v>2.3185570700683861E-2</v>
      </c>
    </row>
    <row r="9" spans="1:6" ht="15" customHeight="1" thickBot="1" x14ac:dyDescent="0.25">
      <c r="A9" s="26" t="s">
        <v>102</v>
      </c>
      <c r="B9" s="26">
        <v>81</v>
      </c>
    </row>
    <row r="11" spans="1:6" ht="15" customHeight="1" thickBot="1" x14ac:dyDescent="0.25">
      <c r="A11" s="24" t="s">
        <v>101</v>
      </c>
    </row>
    <row r="12" spans="1:6" ht="15" customHeight="1" x14ac:dyDescent="0.2">
      <c r="A12" s="27"/>
      <c r="B12" s="27" t="s">
        <v>100</v>
      </c>
      <c r="C12" s="27" t="s">
        <v>99</v>
      </c>
      <c r="D12" s="27" t="s">
        <v>98</v>
      </c>
      <c r="E12" s="27" t="s">
        <v>97</v>
      </c>
      <c r="F12" s="27" t="s">
        <v>96</v>
      </c>
    </row>
    <row r="13" spans="1:6" ht="15" customHeight="1" x14ac:dyDescent="0.2">
      <c r="A13" s="24" t="s">
        <v>95</v>
      </c>
      <c r="B13" s="24">
        <v>4</v>
      </c>
      <c r="C13" s="24">
        <v>2.5741115536216046E-2</v>
      </c>
      <c r="D13" s="24">
        <v>6.4352788840540114E-3</v>
      </c>
      <c r="E13" s="24">
        <v>11.971037519586339</v>
      </c>
      <c r="F13" s="24">
        <v>1.3548241084804515E-7</v>
      </c>
    </row>
    <row r="14" spans="1:6" ht="15" customHeight="1" x14ac:dyDescent="0.2">
      <c r="A14" s="24" t="s">
        <v>94</v>
      </c>
      <c r="B14" s="24">
        <v>76</v>
      </c>
      <c r="C14" s="24">
        <v>4.0855372342447148E-2</v>
      </c>
      <c r="D14" s="24">
        <v>5.3757068871640988E-4</v>
      </c>
    </row>
    <row r="15" spans="1:6" ht="15" customHeight="1" thickBot="1" x14ac:dyDescent="0.25">
      <c r="A15" s="26" t="s">
        <v>93</v>
      </c>
      <c r="B15" s="26">
        <v>80</v>
      </c>
      <c r="C15" s="26">
        <v>6.6596487878663194E-2</v>
      </c>
      <c r="D15" s="26"/>
      <c r="E15" s="26"/>
      <c r="F15" s="26"/>
    </row>
    <row r="16" spans="1:6" ht="15" customHeight="1" thickBot="1" x14ac:dyDescent="0.25"/>
    <row r="17" spans="1:9" ht="15" customHeight="1" x14ac:dyDescent="0.2">
      <c r="A17" s="27"/>
      <c r="B17" s="27" t="s">
        <v>92</v>
      </c>
      <c r="C17" s="27" t="s">
        <v>91</v>
      </c>
      <c r="D17" s="27" t="s">
        <v>90</v>
      </c>
      <c r="E17" s="27" t="s">
        <v>89</v>
      </c>
      <c r="F17" s="27" t="s">
        <v>88</v>
      </c>
      <c r="G17" s="27" t="s">
        <v>87</v>
      </c>
      <c r="H17" s="27" t="s">
        <v>133</v>
      </c>
      <c r="I17" s="27" t="s">
        <v>134</v>
      </c>
    </row>
    <row r="18" spans="1:9" ht="15" customHeight="1" x14ac:dyDescent="0.2">
      <c r="A18" s="24" t="s">
        <v>84</v>
      </c>
      <c r="B18" s="24">
        <v>-3.7375298298058541E-3</v>
      </c>
      <c r="C18" s="24">
        <v>3.2011487615490634E-3</v>
      </c>
      <c r="D18" s="24">
        <v>-1.1675589321869664</v>
      </c>
      <c r="E18" s="24">
        <v>0.24663471924386776</v>
      </c>
      <c r="F18" s="24">
        <v>-1.0113170137581055E-2</v>
      </c>
      <c r="G18" s="24">
        <v>2.6381104779693472E-3</v>
      </c>
      <c r="H18" s="24">
        <v>-1.0113170137581055E-2</v>
      </c>
      <c r="I18" s="24">
        <v>2.6381104779693472E-3</v>
      </c>
    </row>
    <row r="19" spans="1:9" ht="15" customHeight="1" x14ac:dyDescent="0.2">
      <c r="A19" s="24" t="s">
        <v>135</v>
      </c>
      <c r="B19" s="24">
        <v>0.40046045684788578</v>
      </c>
      <c r="C19" s="24">
        <v>6.4363094085793451E-2</v>
      </c>
      <c r="D19" s="24">
        <v>6.2218956769556151</v>
      </c>
      <c r="E19" s="24">
        <v>2.4628459704436576E-8</v>
      </c>
      <c r="F19" s="24">
        <v>0.27227024528522864</v>
      </c>
      <c r="G19" s="24">
        <v>0.52865066841054298</v>
      </c>
      <c r="H19" s="24">
        <v>0.27227024528522864</v>
      </c>
      <c r="I19" s="24">
        <v>0.52865066841054298</v>
      </c>
    </row>
    <row r="20" spans="1:9" ht="15" customHeight="1" x14ac:dyDescent="0.2">
      <c r="A20" s="24" t="s">
        <v>136</v>
      </c>
      <c r="B20" s="24">
        <v>0.12280457092374099</v>
      </c>
      <c r="C20" s="24">
        <v>6.6456805972539029E-2</v>
      </c>
      <c r="D20" s="24">
        <v>1.8478855419937834</v>
      </c>
      <c r="E20" s="24">
        <v>6.8509663580331934E-2</v>
      </c>
      <c r="F20" s="24">
        <v>-9.5556292562347794E-3</v>
      </c>
      <c r="G20" s="24">
        <v>0.25516477110371677</v>
      </c>
      <c r="H20" s="24">
        <v>-9.5556292562347794E-3</v>
      </c>
      <c r="I20" s="24">
        <v>0.25516477110371677</v>
      </c>
    </row>
    <row r="21" spans="1:9" ht="15" customHeight="1" x14ac:dyDescent="0.2">
      <c r="A21" s="24" t="s">
        <v>137</v>
      </c>
      <c r="B21" s="24">
        <v>0.22350892288065372</v>
      </c>
      <c r="C21" s="24">
        <v>6.6416449453400028E-2</v>
      </c>
      <c r="D21" s="24">
        <v>3.3652645499737974</v>
      </c>
      <c r="E21" s="24">
        <v>1.2013618124742064E-3</v>
      </c>
      <c r="F21" s="24">
        <v>9.1229099674467684E-2</v>
      </c>
      <c r="G21" s="24">
        <v>0.35578874608683975</v>
      </c>
      <c r="H21" s="24">
        <v>9.1229099674467684E-2</v>
      </c>
      <c r="I21" s="24">
        <v>0.35578874608683975</v>
      </c>
    </row>
    <row r="22" spans="1:9" ht="15" customHeight="1" thickBot="1" x14ac:dyDescent="0.25">
      <c r="A22" s="26" t="s">
        <v>138</v>
      </c>
      <c r="B22" s="26">
        <v>9.7599066561922118E-2</v>
      </c>
      <c r="C22" s="26">
        <v>6.5999716678785528E-2</v>
      </c>
      <c r="D22" s="26">
        <v>1.4787800838135061</v>
      </c>
      <c r="E22" s="26">
        <v>0.1433320171332487</v>
      </c>
      <c r="F22" s="26">
        <v>-3.3850761391522974E-2</v>
      </c>
      <c r="G22" s="26">
        <v>0.2290488945153672</v>
      </c>
      <c r="H22" s="26">
        <v>-3.3850761391522974E-2</v>
      </c>
      <c r="I22" s="26">
        <v>0.2290488945153672</v>
      </c>
    </row>
    <row r="28" spans="1:9" ht="15" customHeight="1" x14ac:dyDescent="0.2">
      <c r="A28" s="23" t="s">
        <v>116</v>
      </c>
    </row>
    <row r="29" spans="1:9" ht="15" customHeight="1" x14ac:dyDescent="0.2">
      <c r="A29" s="24" t="s">
        <v>107</v>
      </c>
    </row>
    <row r="30" spans="1:9" ht="15" customHeight="1" thickBot="1" x14ac:dyDescent="0.25"/>
    <row r="31" spans="1:9" ht="15" customHeight="1" x14ac:dyDescent="0.2">
      <c r="A31" s="25" t="s">
        <v>106</v>
      </c>
      <c r="B31" s="25"/>
    </row>
    <row r="32" spans="1:9" ht="15" customHeight="1" x14ac:dyDescent="0.2">
      <c r="A32" s="24" t="s">
        <v>105</v>
      </c>
      <c r="B32" s="24">
        <v>0.52632389995946216</v>
      </c>
    </row>
    <row r="33" spans="1:9" ht="15" customHeight="1" x14ac:dyDescent="0.2">
      <c r="A33" s="24" t="s">
        <v>104</v>
      </c>
      <c r="B33" s="24">
        <v>0.27701684766853796</v>
      </c>
    </row>
    <row r="34" spans="1:9" ht="15" customHeight="1" x14ac:dyDescent="0.2">
      <c r="A34" s="24" t="s">
        <v>103</v>
      </c>
      <c r="B34" s="24">
        <v>0.23896510280898733</v>
      </c>
    </row>
    <row r="35" spans="1:9" ht="15" customHeight="1" x14ac:dyDescent="0.2">
      <c r="A35" s="24" t="s">
        <v>91</v>
      </c>
      <c r="B35" s="24">
        <v>1.2768429073848004E-2</v>
      </c>
    </row>
    <row r="36" spans="1:9" ht="15" customHeight="1" thickBot="1" x14ac:dyDescent="0.25">
      <c r="A36" s="26" t="s">
        <v>102</v>
      </c>
      <c r="B36" s="26">
        <v>81</v>
      </c>
    </row>
    <row r="38" spans="1:9" ht="15" customHeight="1" thickBot="1" x14ac:dyDescent="0.25">
      <c r="A38" s="24" t="s">
        <v>101</v>
      </c>
    </row>
    <row r="39" spans="1:9" ht="15" customHeight="1" x14ac:dyDescent="0.2">
      <c r="A39" s="27"/>
      <c r="B39" s="27" t="s">
        <v>100</v>
      </c>
      <c r="C39" s="27" t="s">
        <v>99</v>
      </c>
      <c r="D39" s="27" t="s">
        <v>98</v>
      </c>
      <c r="E39" s="27" t="s">
        <v>97</v>
      </c>
      <c r="F39" s="27" t="s">
        <v>96</v>
      </c>
    </row>
    <row r="40" spans="1:9" ht="15" customHeight="1" x14ac:dyDescent="0.2">
      <c r="A40" s="24" t="s">
        <v>95</v>
      </c>
      <c r="B40" s="24">
        <v>4</v>
      </c>
      <c r="C40" s="24">
        <v>4.7475170696953291E-3</v>
      </c>
      <c r="D40" s="24">
        <v>1.1868792674238323E-3</v>
      </c>
      <c r="E40" s="24">
        <v>7.2800038129922786</v>
      </c>
      <c r="F40" s="24">
        <v>5.1117954309847073E-5</v>
      </c>
    </row>
    <row r="41" spans="1:9" ht="15" customHeight="1" x14ac:dyDescent="0.2">
      <c r="A41" s="24" t="s">
        <v>94</v>
      </c>
      <c r="B41" s="24">
        <v>76</v>
      </c>
      <c r="C41" s="24">
        <v>1.239049135705541E-2</v>
      </c>
      <c r="D41" s="24">
        <v>1.6303278101388697E-4</v>
      </c>
    </row>
    <row r="42" spans="1:9" ht="15" customHeight="1" thickBot="1" x14ac:dyDescent="0.25">
      <c r="A42" s="26" t="s">
        <v>93</v>
      </c>
      <c r="B42" s="26">
        <v>80</v>
      </c>
      <c r="C42" s="26">
        <v>1.7138008426750739E-2</v>
      </c>
      <c r="D42" s="26"/>
      <c r="E42" s="26"/>
      <c r="F42" s="26"/>
    </row>
    <row r="43" spans="1:9" ht="15" customHeight="1" thickBot="1" x14ac:dyDescent="0.25"/>
    <row r="44" spans="1:9" ht="15" customHeight="1" x14ac:dyDescent="0.2">
      <c r="A44" s="27"/>
      <c r="B44" s="27" t="s">
        <v>92</v>
      </c>
      <c r="C44" s="27" t="s">
        <v>91</v>
      </c>
      <c r="D44" s="27" t="s">
        <v>90</v>
      </c>
      <c r="E44" s="27" t="s">
        <v>89</v>
      </c>
      <c r="F44" s="27" t="s">
        <v>88</v>
      </c>
      <c r="G44" s="27" t="s">
        <v>87</v>
      </c>
      <c r="H44" s="27" t="s">
        <v>133</v>
      </c>
      <c r="I44" s="27" t="s">
        <v>134</v>
      </c>
    </row>
    <row r="45" spans="1:9" ht="15" customHeight="1" x14ac:dyDescent="0.2">
      <c r="A45" s="24" t="s">
        <v>84</v>
      </c>
      <c r="B45" s="24">
        <v>-8.3537206675081161E-4</v>
      </c>
      <c r="C45" s="24">
        <v>1.7628913018505094E-3</v>
      </c>
      <c r="D45" s="24">
        <v>-0.47386476175469266</v>
      </c>
      <c r="E45" s="24">
        <v>0.63695485796533857</v>
      </c>
      <c r="F45" s="24">
        <v>-4.3464743864272916E-3</v>
      </c>
      <c r="G45" s="24">
        <v>2.6757302529256681E-3</v>
      </c>
      <c r="H45" s="24">
        <v>-4.3464743864272916E-3</v>
      </c>
      <c r="I45" s="24">
        <v>2.6757302529256681E-3</v>
      </c>
    </row>
    <row r="46" spans="1:9" ht="15" customHeight="1" x14ac:dyDescent="0.2">
      <c r="A46" s="24" t="s">
        <v>135</v>
      </c>
      <c r="B46" s="24">
        <v>7.682384966280667E-2</v>
      </c>
      <c r="C46" s="24">
        <v>3.5445131474966023E-2</v>
      </c>
      <c r="D46" s="24">
        <v>2.1674020229566748</v>
      </c>
      <c r="E46" s="24">
        <v>3.3336216722385785E-2</v>
      </c>
      <c r="F46" s="24">
        <v>6.2287521588629408E-3</v>
      </c>
      <c r="G46" s="24">
        <v>0.14741894716675041</v>
      </c>
      <c r="H46" s="24">
        <v>6.2287521588629408E-3</v>
      </c>
      <c r="I46" s="24">
        <v>0.14741894716675041</v>
      </c>
    </row>
    <row r="47" spans="1:9" ht="15" customHeight="1" x14ac:dyDescent="0.2">
      <c r="A47" s="24" t="s">
        <v>136</v>
      </c>
      <c r="B47" s="24">
        <v>0.15773566972067515</v>
      </c>
      <c r="C47" s="24">
        <v>3.6598150827911902E-2</v>
      </c>
      <c r="D47" s="24">
        <v>4.3099355063692633</v>
      </c>
      <c r="E47" s="24">
        <v>4.8353229271725428E-5</v>
      </c>
      <c r="F47" s="24">
        <v>8.4844135153078912E-2</v>
      </c>
      <c r="G47" s="24">
        <v>0.23062720428827138</v>
      </c>
      <c r="H47" s="24">
        <v>8.4844135153078912E-2</v>
      </c>
      <c r="I47" s="24">
        <v>0.23062720428827138</v>
      </c>
    </row>
    <row r="48" spans="1:9" ht="15" customHeight="1" x14ac:dyDescent="0.2">
      <c r="A48" s="24" t="s">
        <v>137</v>
      </c>
      <c r="B48" s="24">
        <v>0.12646047820858022</v>
      </c>
      <c r="C48" s="24">
        <v>3.6575926257339721E-2</v>
      </c>
      <c r="D48" s="24">
        <v>3.4574784878675029</v>
      </c>
      <c r="E48" s="24">
        <v>8.9632129284723339E-4</v>
      </c>
      <c r="F48" s="24">
        <v>5.3613207709453714E-2</v>
      </c>
      <c r="G48" s="24">
        <v>0.19930774870770673</v>
      </c>
      <c r="H48" s="24">
        <v>5.3613207709453714E-2</v>
      </c>
      <c r="I48" s="24">
        <v>0.19930774870770673</v>
      </c>
    </row>
    <row r="49" spans="1:9" ht="15" customHeight="1" thickBot="1" x14ac:dyDescent="0.25">
      <c r="A49" s="26" t="s">
        <v>138</v>
      </c>
      <c r="B49" s="26">
        <v>6.6410340224026282E-2</v>
      </c>
      <c r="C49" s="26">
        <v>3.6346429086702624E-2</v>
      </c>
      <c r="D49" s="26">
        <v>1.8271489632614988</v>
      </c>
      <c r="E49" s="26">
        <v>7.1603207048755793E-2</v>
      </c>
      <c r="F49" s="26">
        <v>-5.9798470463513775E-3</v>
      </c>
      <c r="G49" s="26">
        <v>0.13880052749440394</v>
      </c>
      <c r="H49" s="26">
        <v>-5.9798470463513775E-3</v>
      </c>
      <c r="I49" s="26">
        <v>0.13880052749440394</v>
      </c>
    </row>
    <row r="55" spans="1:9" ht="15" customHeight="1" x14ac:dyDescent="0.2">
      <c r="A55" s="23" t="s">
        <v>115</v>
      </c>
    </row>
    <row r="56" spans="1:9" ht="15" customHeight="1" x14ac:dyDescent="0.2">
      <c r="A56" s="24" t="s">
        <v>107</v>
      </c>
    </row>
    <row r="57" spans="1:9" ht="15" customHeight="1" thickBot="1" x14ac:dyDescent="0.25"/>
    <row r="58" spans="1:9" ht="15" customHeight="1" x14ac:dyDescent="0.2">
      <c r="A58" s="25" t="s">
        <v>106</v>
      </c>
      <c r="B58" s="25"/>
    </row>
    <row r="59" spans="1:9" ht="15" customHeight="1" x14ac:dyDescent="0.2">
      <c r="A59" s="24" t="s">
        <v>105</v>
      </c>
      <c r="B59" s="24">
        <v>0.70458073166868618</v>
      </c>
    </row>
    <row r="60" spans="1:9" ht="15" customHeight="1" x14ac:dyDescent="0.2">
      <c r="A60" s="24" t="s">
        <v>104</v>
      </c>
      <c r="B60" s="24">
        <v>0.49643400743878113</v>
      </c>
    </row>
    <row r="61" spans="1:9" ht="15" customHeight="1" x14ac:dyDescent="0.2">
      <c r="A61" s="24" t="s">
        <v>103</v>
      </c>
      <c r="B61" s="24">
        <v>0.46993053414608543</v>
      </c>
    </row>
    <row r="62" spans="1:9" ht="15" customHeight="1" x14ac:dyDescent="0.2">
      <c r="A62" s="24" t="s">
        <v>91</v>
      </c>
      <c r="B62" s="24">
        <v>1.4054920591551678E-2</v>
      </c>
    </row>
    <row r="63" spans="1:9" ht="15" customHeight="1" thickBot="1" x14ac:dyDescent="0.25">
      <c r="A63" s="26" t="s">
        <v>102</v>
      </c>
      <c r="B63" s="26">
        <v>81</v>
      </c>
    </row>
    <row r="65" spans="1:9" ht="15" customHeight="1" thickBot="1" x14ac:dyDescent="0.25">
      <c r="A65" s="24" t="s">
        <v>101</v>
      </c>
    </row>
    <row r="66" spans="1:9" ht="15" customHeight="1" x14ac:dyDescent="0.2">
      <c r="A66" s="27"/>
      <c r="B66" s="27" t="s">
        <v>100</v>
      </c>
      <c r="C66" s="27" t="s">
        <v>99</v>
      </c>
      <c r="D66" s="27" t="s">
        <v>98</v>
      </c>
      <c r="E66" s="27" t="s">
        <v>97</v>
      </c>
      <c r="F66" s="27" t="s">
        <v>96</v>
      </c>
    </row>
    <row r="67" spans="1:9" ht="15" customHeight="1" x14ac:dyDescent="0.2">
      <c r="A67" s="24" t="s">
        <v>95</v>
      </c>
      <c r="B67" s="24">
        <v>4</v>
      </c>
      <c r="C67" s="24">
        <v>1.4800470313700671E-2</v>
      </c>
      <c r="D67" s="24">
        <v>3.7001175784251677E-3</v>
      </c>
      <c r="E67" s="24">
        <v>18.730903755757804</v>
      </c>
      <c r="F67" s="24">
        <v>9.4671750591268699E-11</v>
      </c>
    </row>
    <row r="68" spans="1:9" ht="15" customHeight="1" x14ac:dyDescent="0.2">
      <c r="A68" s="24" t="s">
        <v>94</v>
      </c>
      <c r="B68" s="24">
        <v>76</v>
      </c>
      <c r="C68" s="24">
        <v>1.5013100255446577E-2</v>
      </c>
      <c r="D68" s="24">
        <v>1.9754079283482338E-4</v>
      </c>
    </row>
    <row r="69" spans="1:9" ht="15" customHeight="1" thickBot="1" x14ac:dyDescent="0.25">
      <c r="A69" s="26" t="s">
        <v>93</v>
      </c>
      <c r="B69" s="26">
        <v>80</v>
      </c>
      <c r="C69" s="26">
        <v>2.9813570569147248E-2</v>
      </c>
      <c r="D69" s="26"/>
      <c r="E69" s="26"/>
      <c r="F69" s="26"/>
    </row>
    <row r="70" spans="1:9" ht="15" customHeight="1" thickBot="1" x14ac:dyDescent="0.25"/>
    <row r="71" spans="1:9" ht="15" customHeight="1" x14ac:dyDescent="0.2">
      <c r="A71" s="27"/>
      <c r="B71" s="27" t="s">
        <v>92</v>
      </c>
      <c r="C71" s="27" t="s">
        <v>91</v>
      </c>
      <c r="D71" s="27" t="s">
        <v>90</v>
      </c>
      <c r="E71" s="27" t="s">
        <v>89</v>
      </c>
      <c r="F71" s="27" t="s">
        <v>88</v>
      </c>
      <c r="G71" s="27" t="s">
        <v>87</v>
      </c>
      <c r="H71" s="27" t="s">
        <v>133</v>
      </c>
      <c r="I71" s="27" t="s">
        <v>134</v>
      </c>
    </row>
    <row r="72" spans="1:9" ht="15" customHeight="1" x14ac:dyDescent="0.2">
      <c r="A72" s="24" t="s">
        <v>84</v>
      </c>
      <c r="B72" s="24">
        <v>-1.7834310826089659E-3</v>
      </c>
      <c r="C72" s="24">
        <v>1.9405125811282726E-3</v>
      </c>
      <c r="D72" s="24">
        <v>-0.91905154336697226</v>
      </c>
      <c r="E72" s="24">
        <v>0.36097636298995839</v>
      </c>
      <c r="F72" s="24">
        <v>-5.6482968391130114E-3</v>
      </c>
      <c r="G72" s="24">
        <v>2.0814346738950796E-3</v>
      </c>
      <c r="H72" s="24">
        <v>-5.6482968391130114E-3</v>
      </c>
      <c r="I72" s="24">
        <v>2.0814346738950796E-3</v>
      </c>
    </row>
    <row r="73" spans="1:9" ht="15" customHeight="1" x14ac:dyDescent="0.2">
      <c r="A73" s="24" t="s">
        <v>135</v>
      </c>
      <c r="B73" s="24">
        <v>0.31357329535773748</v>
      </c>
      <c r="C73" s="24">
        <v>3.9016429143825845E-2</v>
      </c>
      <c r="D73" s="24">
        <v>8.0369552580482342</v>
      </c>
      <c r="E73" s="24">
        <v>9.3541564133746015E-12</v>
      </c>
      <c r="F73" s="24">
        <v>0.23586534210583782</v>
      </c>
      <c r="G73" s="24">
        <v>0.39128124860963714</v>
      </c>
      <c r="H73" s="24">
        <v>0.23586534210583782</v>
      </c>
      <c r="I73" s="24">
        <v>0.39128124860963714</v>
      </c>
    </row>
    <row r="74" spans="1:9" ht="15" customHeight="1" x14ac:dyDescent="0.2">
      <c r="A74" s="24" t="s">
        <v>136</v>
      </c>
      <c r="B74" s="24">
        <v>0.17700078115650947</v>
      </c>
      <c r="C74" s="24">
        <v>4.0285621724404808E-2</v>
      </c>
      <c r="D74" s="24">
        <v>4.3936465066215762</v>
      </c>
      <c r="E74" s="24">
        <v>3.5627699020207382E-5</v>
      </c>
      <c r="F74" s="24">
        <v>9.6765011805506451E-2</v>
      </c>
      <c r="G74" s="24">
        <v>0.25723655050751248</v>
      </c>
      <c r="H74" s="24">
        <v>9.6765011805506451E-2</v>
      </c>
      <c r="I74" s="24">
        <v>0.25723655050751248</v>
      </c>
    </row>
    <row r="75" spans="1:9" ht="15" customHeight="1" x14ac:dyDescent="0.2">
      <c r="A75" s="24" t="s">
        <v>137</v>
      </c>
      <c r="B75" s="24">
        <v>7.5988518690937007E-2</v>
      </c>
      <c r="C75" s="24">
        <v>4.0261157902522986E-2</v>
      </c>
      <c r="D75" s="24">
        <v>1.8873902950062733</v>
      </c>
      <c r="E75" s="24">
        <v>6.2925910938852775E-2</v>
      </c>
      <c r="F75" s="24">
        <v>-4.1985267360967471E-3</v>
      </c>
      <c r="G75" s="24">
        <v>0.15617556411797076</v>
      </c>
      <c r="H75" s="24">
        <v>-4.1985267360967471E-3</v>
      </c>
      <c r="I75" s="24">
        <v>0.15617556411797076</v>
      </c>
    </row>
    <row r="76" spans="1:9" ht="15" customHeight="1" thickBot="1" x14ac:dyDescent="0.25">
      <c r="A76" s="26" t="s">
        <v>138</v>
      </c>
      <c r="B76" s="26">
        <v>4.8260496539829341E-2</v>
      </c>
      <c r="C76" s="26">
        <v>4.0008537592645027E-2</v>
      </c>
      <c r="D76" s="26">
        <v>1.2062549506608637</v>
      </c>
      <c r="E76" s="26">
        <v>0.23146085490304438</v>
      </c>
      <c r="F76" s="26">
        <v>-3.1423411935380542E-2</v>
      </c>
      <c r="G76" s="26">
        <v>0.12794440501503923</v>
      </c>
      <c r="H76" s="26">
        <v>-3.1423411935380542E-2</v>
      </c>
      <c r="I76" s="26">
        <v>0.12794440501503923</v>
      </c>
    </row>
    <row r="82" spans="1:6" ht="15" customHeight="1" x14ac:dyDescent="0.2">
      <c r="A82" s="19" t="s">
        <v>114</v>
      </c>
    </row>
    <row r="83" spans="1:6" ht="15" customHeight="1" x14ac:dyDescent="0.2">
      <c r="A83" s="24" t="s">
        <v>107</v>
      </c>
    </row>
    <row r="84" spans="1:6" ht="15" customHeight="1" thickBot="1" x14ac:dyDescent="0.25"/>
    <row r="85" spans="1:6" ht="15" customHeight="1" x14ac:dyDescent="0.2">
      <c r="A85" s="25" t="s">
        <v>106</v>
      </c>
      <c r="B85" s="25"/>
    </row>
    <row r="86" spans="1:6" ht="15" customHeight="1" x14ac:dyDescent="0.2">
      <c r="A86" s="24" t="s">
        <v>105</v>
      </c>
      <c r="B86" s="24">
        <v>0.5224732663195395</v>
      </c>
    </row>
    <row r="87" spans="1:6" ht="15" customHeight="1" x14ac:dyDescent="0.2">
      <c r="A87" s="24" t="s">
        <v>104</v>
      </c>
      <c r="B87" s="24">
        <v>0.2729783140186085</v>
      </c>
    </row>
    <row r="88" spans="1:6" ht="15" customHeight="1" x14ac:dyDescent="0.2">
      <c r="A88" s="24" t="s">
        <v>103</v>
      </c>
      <c r="B88" s="24">
        <v>0.23471401475643003</v>
      </c>
    </row>
    <row r="89" spans="1:6" ht="15" customHeight="1" x14ac:dyDescent="0.2">
      <c r="A89" s="24" t="s">
        <v>91</v>
      </c>
      <c r="B89" s="24">
        <v>8.7402709939803837E-3</v>
      </c>
    </row>
    <row r="90" spans="1:6" ht="15" customHeight="1" thickBot="1" x14ac:dyDescent="0.25">
      <c r="A90" s="26" t="s">
        <v>102</v>
      </c>
      <c r="B90" s="26">
        <v>81</v>
      </c>
    </row>
    <row r="92" spans="1:6" ht="15" customHeight="1" thickBot="1" x14ac:dyDescent="0.25">
      <c r="A92" s="24" t="s">
        <v>101</v>
      </c>
    </row>
    <row r="93" spans="1:6" ht="15" customHeight="1" x14ac:dyDescent="0.2">
      <c r="A93" s="27"/>
      <c r="B93" s="27" t="s">
        <v>100</v>
      </c>
      <c r="C93" s="27" t="s">
        <v>99</v>
      </c>
      <c r="D93" s="27" t="s">
        <v>98</v>
      </c>
      <c r="E93" s="27" t="s">
        <v>97</v>
      </c>
      <c r="F93" s="27" t="s">
        <v>96</v>
      </c>
    </row>
    <row r="94" spans="1:6" ht="15" customHeight="1" x14ac:dyDescent="0.2">
      <c r="A94" s="24" t="s">
        <v>95</v>
      </c>
      <c r="B94" s="24">
        <v>4</v>
      </c>
      <c r="C94" s="24">
        <v>2.1799381432263789E-3</v>
      </c>
      <c r="D94" s="24">
        <v>5.4498453580659472E-4</v>
      </c>
      <c r="E94" s="24">
        <v>7.1340209877677774</v>
      </c>
      <c r="F94" s="24">
        <v>6.2327777800668451E-5</v>
      </c>
    </row>
    <row r="95" spans="1:6" ht="15" customHeight="1" x14ac:dyDescent="0.2">
      <c r="A95" s="24" t="s">
        <v>94</v>
      </c>
      <c r="B95" s="24">
        <v>76</v>
      </c>
      <c r="C95" s="24">
        <v>5.805817615664329E-3</v>
      </c>
      <c r="D95" s="24">
        <v>7.6392337048214855E-5</v>
      </c>
    </row>
    <row r="96" spans="1:6" ht="15" customHeight="1" thickBot="1" x14ac:dyDescent="0.25">
      <c r="A96" s="26" t="s">
        <v>93</v>
      </c>
      <c r="B96" s="26">
        <v>80</v>
      </c>
      <c r="C96" s="26">
        <v>7.9857557588907079E-3</v>
      </c>
      <c r="D96" s="26"/>
      <c r="E96" s="26"/>
      <c r="F96" s="26"/>
    </row>
    <row r="97" spans="1:9" ht="15" customHeight="1" thickBot="1" x14ac:dyDescent="0.25"/>
    <row r="98" spans="1:9" ht="15" customHeight="1" x14ac:dyDescent="0.2">
      <c r="A98" s="27"/>
      <c r="B98" s="27" t="s">
        <v>92</v>
      </c>
      <c r="C98" s="27" t="s">
        <v>91</v>
      </c>
      <c r="D98" s="27" t="s">
        <v>90</v>
      </c>
      <c r="E98" s="27" t="s">
        <v>89</v>
      </c>
      <c r="F98" s="27" t="s">
        <v>88</v>
      </c>
      <c r="G98" s="27" t="s">
        <v>87</v>
      </c>
      <c r="H98" s="27" t="s">
        <v>133</v>
      </c>
      <c r="I98" s="27" t="s">
        <v>134</v>
      </c>
    </row>
    <row r="99" spans="1:9" ht="15" customHeight="1" x14ac:dyDescent="0.2">
      <c r="A99" s="24" t="s">
        <v>84</v>
      </c>
      <c r="B99" s="24">
        <v>2.7675791134829301E-3</v>
      </c>
      <c r="C99" s="24">
        <v>1.2067379332249206E-3</v>
      </c>
      <c r="D99" s="24">
        <v>2.2934383989129881</v>
      </c>
      <c r="E99" s="24">
        <v>2.4588042250157219E-2</v>
      </c>
      <c r="F99" s="24">
        <v>3.6415222485964693E-4</v>
      </c>
      <c r="G99" s="24">
        <v>5.1710060021062133E-3</v>
      </c>
      <c r="H99" s="24">
        <v>3.6415222485964693E-4</v>
      </c>
      <c r="I99" s="24">
        <v>5.1710060021062133E-3</v>
      </c>
    </row>
    <row r="100" spans="1:9" ht="15" customHeight="1" x14ac:dyDescent="0.2">
      <c r="A100" s="24" t="s">
        <v>135</v>
      </c>
      <c r="B100" s="24">
        <v>0.12572381584430989</v>
      </c>
      <c r="C100" s="24">
        <v>2.4262973363183095E-2</v>
      </c>
      <c r="D100" s="24">
        <v>5.1817151163791246</v>
      </c>
      <c r="E100" s="24">
        <v>1.7550725634555164E-6</v>
      </c>
      <c r="F100" s="24">
        <v>7.7399916368320096E-2</v>
      </c>
      <c r="G100" s="24">
        <v>0.17404771532029967</v>
      </c>
      <c r="H100" s="24">
        <v>7.7399916368320096E-2</v>
      </c>
      <c r="I100" s="24">
        <v>0.17404771532029967</v>
      </c>
    </row>
    <row r="101" spans="1:9" ht="15" customHeight="1" x14ac:dyDescent="0.2">
      <c r="A101" s="24" t="s">
        <v>136</v>
      </c>
      <c r="B101" s="24">
        <v>4.9212508552962636E-2</v>
      </c>
      <c r="C101" s="24">
        <v>2.5052240511691738E-2</v>
      </c>
      <c r="D101" s="24">
        <v>1.9643955010728658</v>
      </c>
      <c r="E101" s="24">
        <v>5.3140355965855458E-2</v>
      </c>
      <c r="F101" s="24">
        <v>-6.8335268440417041E-4</v>
      </c>
      <c r="G101" s="24">
        <v>9.9108369790329442E-2</v>
      </c>
      <c r="H101" s="24">
        <v>-6.8335268440417041E-4</v>
      </c>
      <c r="I101" s="24">
        <v>9.9108369790329442E-2</v>
      </c>
    </row>
    <row r="102" spans="1:9" ht="15" customHeight="1" x14ac:dyDescent="0.2">
      <c r="A102" s="24" t="s">
        <v>137</v>
      </c>
      <c r="B102" s="24">
        <v>9.8661787622751421E-3</v>
      </c>
      <c r="C102" s="24">
        <v>2.5037027303520067E-2</v>
      </c>
      <c r="D102" s="24">
        <v>0.39406350612910074</v>
      </c>
      <c r="E102" s="24">
        <v>0.69463767397330223</v>
      </c>
      <c r="F102" s="24">
        <v>-3.9999382745071324E-2</v>
      </c>
      <c r="G102" s="24">
        <v>5.9731740269621608E-2</v>
      </c>
      <c r="H102" s="24">
        <v>-3.9999382745071324E-2</v>
      </c>
      <c r="I102" s="24">
        <v>5.9731740269621608E-2</v>
      </c>
    </row>
    <row r="103" spans="1:9" ht="15" customHeight="1" thickBot="1" x14ac:dyDescent="0.25">
      <c r="A103" s="26" t="s">
        <v>138</v>
      </c>
      <c r="B103" s="26">
        <v>2.1128040745135745E-2</v>
      </c>
      <c r="C103" s="26">
        <v>2.4879931434316521E-2</v>
      </c>
      <c r="D103" s="26">
        <v>0.84920011941810059</v>
      </c>
      <c r="E103" s="26">
        <v>0.39843699169919544</v>
      </c>
      <c r="F103" s="26">
        <v>-2.8424637222429695E-2</v>
      </c>
      <c r="G103" s="26">
        <v>7.0680718712701179E-2</v>
      </c>
      <c r="H103" s="26">
        <v>-2.8424637222429695E-2</v>
      </c>
      <c r="I103" s="26">
        <v>7.0680718712701179E-2</v>
      </c>
    </row>
    <row r="109" spans="1:9" ht="15" customHeight="1" x14ac:dyDescent="0.2">
      <c r="A109" s="19" t="s">
        <v>113</v>
      </c>
    </row>
    <row r="110" spans="1:9" ht="15" customHeight="1" x14ac:dyDescent="0.2">
      <c r="A110" s="24" t="s">
        <v>107</v>
      </c>
    </row>
    <row r="111" spans="1:9" ht="15" customHeight="1" thickBot="1" x14ac:dyDescent="0.25"/>
    <row r="112" spans="1:9" ht="15" customHeight="1" x14ac:dyDescent="0.2">
      <c r="A112" s="25" t="s">
        <v>106</v>
      </c>
      <c r="B112" s="25"/>
    </row>
    <row r="113" spans="1:9" ht="15" customHeight="1" x14ac:dyDescent="0.2">
      <c r="A113" s="24" t="s">
        <v>105</v>
      </c>
      <c r="B113" s="24">
        <v>0.53932497203217322</v>
      </c>
    </row>
    <row r="114" spans="1:9" ht="15" customHeight="1" x14ac:dyDescent="0.2">
      <c r="A114" s="24" t="s">
        <v>104</v>
      </c>
      <c r="B114" s="24">
        <v>0.29087142545750444</v>
      </c>
    </row>
    <row r="115" spans="1:9" ht="15" customHeight="1" x14ac:dyDescent="0.2">
      <c r="A115" s="24" t="s">
        <v>103</v>
      </c>
      <c r="B115" s="24">
        <v>0.25354886890263623</v>
      </c>
    </row>
    <row r="116" spans="1:9" ht="15" customHeight="1" x14ac:dyDescent="0.2">
      <c r="A116" s="24" t="s">
        <v>91</v>
      </c>
      <c r="B116" s="24">
        <v>1.0965333933147995E-2</v>
      </c>
    </row>
    <row r="117" spans="1:9" ht="15" customHeight="1" thickBot="1" x14ac:dyDescent="0.25">
      <c r="A117" s="26" t="s">
        <v>102</v>
      </c>
      <c r="B117" s="26">
        <v>81</v>
      </c>
    </row>
    <row r="119" spans="1:9" ht="15" customHeight="1" thickBot="1" x14ac:dyDescent="0.25">
      <c r="A119" s="24" t="s">
        <v>101</v>
      </c>
    </row>
    <row r="120" spans="1:9" ht="15" customHeight="1" x14ac:dyDescent="0.2">
      <c r="A120" s="27"/>
      <c r="B120" s="27" t="s">
        <v>100</v>
      </c>
      <c r="C120" s="27" t="s">
        <v>99</v>
      </c>
      <c r="D120" s="27" t="s">
        <v>98</v>
      </c>
      <c r="E120" s="27" t="s">
        <v>97</v>
      </c>
      <c r="F120" s="27" t="s">
        <v>96</v>
      </c>
    </row>
    <row r="121" spans="1:9" ht="15" customHeight="1" x14ac:dyDescent="0.2">
      <c r="A121" s="24" t="s">
        <v>95</v>
      </c>
      <c r="B121" s="24">
        <v>4</v>
      </c>
      <c r="C121" s="24">
        <v>3.7482917739031073E-3</v>
      </c>
      <c r="D121" s="24">
        <v>9.3707294347577684E-4</v>
      </c>
      <c r="E121" s="24">
        <v>7.7934485819558486</v>
      </c>
      <c r="F121" s="24">
        <v>2.56241063836592E-5</v>
      </c>
    </row>
    <row r="122" spans="1:9" ht="15" customHeight="1" x14ac:dyDescent="0.2">
      <c r="A122" s="24" t="s">
        <v>94</v>
      </c>
      <c r="B122" s="24">
        <v>76</v>
      </c>
      <c r="C122" s="24">
        <v>9.1381296681739624E-3</v>
      </c>
      <c r="D122" s="24">
        <v>1.2023854826544687E-4</v>
      </c>
    </row>
    <row r="123" spans="1:9" ht="15" customHeight="1" thickBot="1" x14ac:dyDescent="0.25">
      <c r="A123" s="26" t="s">
        <v>93</v>
      </c>
      <c r="B123" s="26">
        <v>80</v>
      </c>
      <c r="C123" s="26">
        <v>1.288642144207707E-2</v>
      </c>
      <c r="D123" s="26"/>
      <c r="E123" s="26"/>
      <c r="F123" s="26"/>
    </row>
    <row r="124" spans="1:9" ht="15" customHeight="1" thickBot="1" x14ac:dyDescent="0.25"/>
    <row r="125" spans="1:9" ht="15" customHeight="1" x14ac:dyDescent="0.2">
      <c r="A125" s="27"/>
      <c r="B125" s="27" t="s">
        <v>92</v>
      </c>
      <c r="C125" s="27" t="s">
        <v>91</v>
      </c>
      <c r="D125" s="27" t="s">
        <v>90</v>
      </c>
      <c r="E125" s="27" t="s">
        <v>89</v>
      </c>
      <c r="F125" s="27" t="s">
        <v>88</v>
      </c>
      <c r="G125" s="27" t="s">
        <v>87</v>
      </c>
      <c r="H125" s="27" t="s">
        <v>133</v>
      </c>
      <c r="I125" s="27" t="s">
        <v>134</v>
      </c>
    </row>
    <row r="126" spans="1:9" ht="15" customHeight="1" x14ac:dyDescent="0.2">
      <c r="A126" s="24" t="s">
        <v>84</v>
      </c>
      <c r="B126" s="24">
        <v>-3.1632610456001548E-3</v>
      </c>
      <c r="C126" s="24">
        <v>1.5139444093577262E-3</v>
      </c>
      <c r="D126" s="24">
        <v>-2.0894169072840212</v>
      </c>
      <c r="E126" s="24">
        <v>4.00167480718924E-2</v>
      </c>
      <c r="F126" s="24">
        <v>-6.1785426582426041E-3</v>
      </c>
      <c r="G126" s="24">
        <v>-1.4797943295770562E-4</v>
      </c>
      <c r="H126" s="24">
        <v>-6.1785426582426041E-3</v>
      </c>
      <c r="I126" s="24">
        <v>-1.4797943295770562E-4</v>
      </c>
    </row>
    <row r="127" spans="1:9" ht="15" customHeight="1" x14ac:dyDescent="0.2">
      <c r="A127" s="24" t="s">
        <v>135</v>
      </c>
      <c r="B127" s="24">
        <v>4.9361749476435728E-2</v>
      </c>
      <c r="C127" s="24">
        <v>3.0439743266726292E-2</v>
      </c>
      <c r="D127" s="24">
        <v>1.6216217411528926</v>
      </c>
      <c r="E127" s="24">
        <v>0.10902603409470231</v>
      </c>
      <c r="F127" s="24">
        <v>-1.1264253432518558E-2</v>
      </c>
      <c r="G127" s="24">
        <v>0.10998775238539002</v>
      </c>
      <c r="H127" s="24">
        <v>-1.1264253432518558E-2</v>
      </c>
      <c r="I127" s="24">
        <v>0.10998775238539002</v>
      </c>
    </row>
    <row r="128" spans="1:9" ht="15" customHeight="1" x14ac:dyDescent="0.2">
      <c r="A128" s="24" t="s">
        <v>136</v>
      </c>
      <c r="B128" s="24">
        <v>0.10126038784783566</v>
      </c>
      <c r="C128" s="24">
        <v>3.1429938862700534E-2</v>
      </c>
      <c r="D128" s="24">
        <v>3.221781254178842</v>
      </c>
      <c r="E128" s="24">
        <v>1.8765762751462431E-3</v>
      </c>
      <c r="F128" s="24">
        <v>3.8662239492188707E-2</v>
      </c>
      <c r="G128" s="24">
        <v>0.16385853620348262</v>
      </c>
      <c r="H128" s="24">
        <v>3.8662239492188707E-2</v>
      </c>
      <c r="I128" s="24">
        <v>0.16385853620348262</v>
      </c>
    </row>
    <row r="129" spans="1:9" ht="15" customHeight="1" x14ac:dyDescent="0.2">
      <c r="A129" s="24" t="s">
        <v>137</v>
      </c>
      <c r="B129" s="24">
        <v>0.15227153948160488</v>
      </c>
      <c r="C129" s="24">
        <v>3.1410852737349067E-2</v>
      </c>
      <c r="D129" s="24">
        <v>4.8477365691045513</v>
      </c>
      <c r="E129" s="24">
        <v>6.4647631718083742E-6</v>
      </c>
      <c r="F129" s="24">
        <v>8.9711404439044684E-2</v>
      </c>
      <c r="G129" s="24">
        <v>0.21483167452416507</v>
      </c>
      <c r="H129" s="24">
        <v>8.9711404439044684E-2</v>
      </c>
      <c r="I129" s="24">
        <v>0.21483167452416507</v>
      </c>
    </row>
    <row r="130" spans="1:9" ht="15" customHeight="1" thickBot="1" x14ac:dyDescent="0.25">
      <c r="A130" s="26" t="s">
        <v>138</v>
      </c>
      <c r="B130" s="26">
        <v>5.7487094888272257E-2</v>
      </c>
      <c r="C130" s="26">
        <v>3.1213764035348705E-2</v>
      </c>
      <c r="D130" s="26">
        <v>1.841722607474374</v>
      </c>
      <c r="E130" s="26">
        <v>6.9417148166745629E-2</v>
      </c>
      <c r="F130" s="26">
        <v>-4.6805039848433899E-3</v>
      </c>
      <c r="G130" s="26">
        <v>0.1196546937613879</v>
      </c>
      <c r="H130" s="26">
        <v>-4.6805039848433899E-3</v>
      </c>
      <c r="I130" s="26">
        <v>0.1196546937613879</v>
      </c>
    </row>
    <row r="136" spans="1:9" ht="15" customHeight="1" x14ac:dyDescent="0.2">
      <c r="A136" s="19" t="s">
        <v>112</v>
      </c>
    </row>
    <row r="137" spans="1:9" ht="15" customHeight="1" x14ac:dyDescent="0.2">
      <c r="A137" s="24" t="s">
        <v>107</v>
      </c>
    </row>
    <row r="138" spans="1:9" ht="15" customHeight="1" thickBot="1" x14ac:dyDescent="0.25"/>
    <row r="139" spans="1:9" ht="15" customHeight="1" x14ac:dyDescent="0.2">
      <c r="A139" s="25" t="s">
        <v>106</v>
      </c>
      <c r="B139" s="25"/>
    </row>
    <row r="140" spans="1:9" ht="15" customHeight="1" x14ac:dyDescent="0.2">
      <c r="A140" s="24" t="s">
        <v>105</v>
      </c>
      <c r="B140" s="24">
        <v>0.66303791461203343</v>
      </c>
    </row>
    <row r="141" spans="1:9" ht="15" customHeight="1" x14ac:dyDescent="0.2">
      <c r="A141" s="24" t="s">
        <v>104</v>
      </c>
      <c r="B141" s="24">
        <v>0.43961927621307412</v>
      </c>
    </row>
    <row r="142" spans="1:9" ht="15" customHeight="1" x14ac:dyDescent="0.2">
      <c r="A142" s="24" t="s">
        <v>103</v>
      </c>
      <c r="B142" s="24">
        <v>0.41012555390849903</v>
      </c>
    </row>
    <row r="143" spans="1:9" ht="15" customHeight="1" x14ac:dyDescent="0.2">
      <c r="A143" s="24" t="s">
        <v>91</v>
      </c>
      <c r="B143" s="24">
        <v>2.7948789878841612E-2</v>
      </c>
    </row>
    <row r="144" spans="1:9" ht="15" customHeight="1" thickBot="1" x14ac:dyDescent="0.25">
      <c r="A144" s="26" t="s">
        <v>102</v>
      </c>
      <c r="B144" s="26">
        <v>81</v>
      </c>
    </row>
    <row r="146" spans="1:9" ht="15" customHeight="1" thickBot="1" x14ac:dyDescent="0.25">
      <c r="A146" s="24" t="s">
        <v>101</v>
      </c>
    </row>
    <row r="147" spans="1:9" ht="15" customHeight="1" x14ac:dyDescent="0.2">
      <c r="A147" s="27"/>
      <c r="B147" s="27" t="s">
        <v>100</v>
      </c>
      <c r="C147" s="27" t="s">
        <v>99</v>
      </c>
      <c r="D147" s="27" t="s">
        <v>98</v>
      </c>
      <c r="E147" s="27" t="s">
        <v>97</v>
      </c>
      <c r="F147" s="27" t="s">
        <v>96</v>
      </c>
    </row>
    <row r="148" spans="1:9" ht="15" customHeight="1" x14ac:dyDescent="0.2">
      <c r="A148" s="24" t="s">
        <v>95</v>
      </c>
      <c r="B148" s="24">
        <v>4</v>
      </c>
      <c r="C148" s="24">
        <v>4.6572885760261508E-2</v>
      </c>
      <c r="D148" s="24">
        <v>1.1643221440065377E-2</v>
      </c>
      <c r="E148" s="24">
        <v>14.905520289138977</v>
      </c>
      <c r="F148" s="24">
        <v>4.9030929916679817E-9</v>
      </c>
    </row>
    <row r="149" spans="1:9" ht="15" customHeight="1" x14ac:dyDescent="0.2">
      <c r="A149" s="24" t="s">
        <v>94</v>
      </c>
      <c r="B149" s="24">
        <v>76</v>
      </c>
      <c r="C149" s="24">
        <v>5.9366249032564593E-2</v>
      </c>
      <c r="D149" s="24">
        <v>7.8113485569163935E-4</v>
      </c>
    </row>
    <row r="150" spans="1:9" ht="15" customHeight="1" thickBot="1" x14ac:dyDescent="0.25">
      <c r="A150" s="26" t="s">
        <v>93</v>
      </c>
      <c r="B150" s="26">
        <v>80</v>
      </c>
      <c r="C150" s="26">
        <v>0.1059391347928261</v>
      </c>
      <c r="D150" s="26"/>
      <c r="E150" s="26"/>
      <c r="F150" s="26"/>
    </row>
    <row r="151" spans="1:9" ht="15" customHeight="1" thickBot="1" x14ac:dyDescent="0.25"/>
    <row r="152" spans="1:9" ht="15" customHeight="1" x14ac:dyDescent="0.2">
      <c r="A152" s="27"/>
      <c r="B152" s="27" t="s">
        <v>92</v>
      </c>
      <c r="C152" s="27" t="s">
        <v>91</v>
      </c>
      <c r="D152" s="27" t="s">
        <v>90</v>
      </c>
      <c r="E152" s="27" t="s">
        <v>89</v>
      </c>
      <c r="F152" s="27" t="s">
        <v>88</v>
      </c>
      <c r="G152" s="27" t="s">
        <v>87</v>
      </c>
      <c r="H152" s="27" t="s">
        <v>133</v>
      </c>
      <c r="I152" s="27" t="s">
        <v>134</v>
      </c>
    </row>
    <row r="153" spans="1:9" ht="15" customHeight="1" x14ac:dyDescent="0.2">
      <c r="A153" s="24" t="s">
        <v>84</v>
      </c>
      <c r="B153" s="24">
        <v>-2.3896158619062524E-3</v>
      </c>
      <c r="C153" s="24">
        <v>3.8587893851070908E-3</v>
      </c>
      <c r="D153" s="24">
        <v>-0.61926568760889622</v>
      </c>
      <c r="E153" s="24">
        <v>0.53759334871134801</v>
      </c>
      <c r="F153" s="24">
        <v>-1.0075060986611612E-2</v>
      </c>
      <c r="G153" s="24">
        <v>5.2958292627991073E-3</v>
      </c>
      <c r="H153" s="24">
        <v>-1.0075060986611612E-2</v>
      </c>
      <c r="I153" s="24">
        <v>5.2958292627991073E-3</v>
      </c>
    </row>
    <row r="154" spans="1:9" ht="15" customHeight="1" x14ac:dyDescent="0.2">
      <c r="A154" s="24" t="s">
        <v>135</v>
      </c>
      <c r="B154" s="24">
        <v>0.57421434194683063</v>
      </c>
      <c r="C154" s="24">
        <v>7.7585780215575911E-2</v>
      </c>
      <c r="D154" s="24">
        <v>7.4010255532824161</v>
      </c>
      <c r="E154" s="24">
        <v>1.5297226869321288E-10</v>
      </c>
      <c r="F154" s="24">
        <v>0.41968886859355736</v>
      </c>
      <c r="G154" s="24">
        <v>0.7287398153001039</v>
      </c>
      <c r="H154" s="24">
        <v>0.41968886859355736</v>
      </c>
      <c r="I154" s="24">
        <v>0.7287398153001039</v>
      </c>
    </row>
    <row r="155" spans="1:9" ht="15" customHeight="1" x14ac:dyDescent="0.2">
      <c r="A155" s="24" t="s">
        <v>136</v>
      </c>
      <c r="B155" s="24">
        <v>9.9583695967354363E-2</v>
      </c>
      <c r="C155" s="24">
        <v>8.0109622062943475E-2</v>
      </c>
      <c r="D155" s="24">
        <v>1.2430928196004942</v>
      </c>
      <c r="E155" s="24">
        <v>0.2176549724514861</v>
      </c>
      <c r="F155" s="24">
        <v>-5.9968444064395859E-2</v>
      </c>
      <c r="G155" s="24">
        <v>0.25913583599910461</v>
      </c>
      <c r="H155" s="24">
        <v>-5.9968444064395859E-2</v>
      </c>
      <c r="I155" s="24">
        <v>0.25913583599910461</v>
      </c>
    </row>
    <row r="156" spans="1:9" ht="15" customHeight="1" x14ac:dyDescent="0.2">
      <c r="A156" s="24" t="s">
        <v>137</v>
      </c>
      <c r="B156" s="24">
        <v>0.17925016964731572</v>
      </c>
      <c r="C156" s="24">
        <v>8.0060974743098812E-2</v>
      </c>
      <c r="D156" s="24">
        <v>2.2389206504479504</v>
      </c>
      <c r="E156" s="24">
        <v>2.808702825805981E-2</v>
      </c>
      <c r="F156" s="24">
        <v>1.979491915003273E-2</v>
      </c>
      <c r="G156" s="24">
        <v>0.3387054201445987</v>
      </c>
      <c r="H156" s="24">
        <v>1.979491915003273E-2</v>
      </c>
      <c r="I156" s="24">
        <v>0.3387054201445987</v>
      </c>
    </row>
    <row r="157" spans="1:9" ht="15" customHeight="1" thickBot="1" x14ac:dyDescent="0.25">
      <c r="A157" s="26" t="s">
        <v>138</v>
      </c>
      <c r="B157" s="26">
        <v>0.14166481577838805</v>
      </c>
      <c r="C157" s="26">
        <v>7.9558628827025066E-2</v>
      </c>
      <c r="D157" s="26">
        <v>1.7806342048251376</v>
      </c>
      <c r="E157" s="26">
        <v>7.8968496608686156E-2</v>
      </c>
      <c r="F157" s="26">
        <v>-1.6789926117283999E-2</v>
      </c>
      <c r="G157" s="26">
        <v>0.30011955767406007</v>
      </c>
      <c r="H157" s="26">
        <v>-1.6789926117283999E-2</v>
      </c>
      <c r="I157" s="26">
        <v>0.30011955767406007</v>
      </c>
    </row>
    <row r="163" spans="1:6" ht="15" customHeight="1" x14ac:dyDescent="0.2">
      <c r="A163" s="19" t="s">
        <v>111</v>
      </c>
    </row>
    <row r="164" spans="1:6" ht="15" customHeight="1" x14ac:dyDescent="0.2">
      <c r="A164" s="24" t="s">
        <v>107</v>
      </c>
    </row>
    <row r="165" spans="1:6" ht="15" customHeight="1" thickBot="1" x14ac:dyDescent="0.25"/>
    <row r="166" spans="1:6" ht="15" customHeight="1" x14ac:dyDescent="0.2">
      <c r="A166" s="25" t="s">
        <v>106</v>
      </c>
      <c r="B166" s="25"/>
    </row>
    <row r="167" spans="1:6" ht="15" customHeight="1" x14ac:dyDescent="0.2">
      <c r="A167" s="24" t="s">
        <v>105</v>
      </c>
      <c r="B167" s="24">
        <v>0.53936405178270008</v>
      </c>
    </row>
    <row r="168" spans="1:6" ht="15" customHeight="1" x14ac:dyDescent="0.2">
      <c r="A168" s="24" t="s">
        <v>104</v>
      </c>
      <c r="B168" s="24">
        <v>0.29091358035545112</v>
      </c>
    </row>
    <row r="169" spans="1:6" ht="15" customHeight="1" x14ac:dyDescent="0.2">
      <c r="A169" s="24" t="s">
        <v>103</v>
      </c>
      <c r="B169" s="24">
        <v>0.25359324247942222</v>
      </c>
    </row>
    <row r="170" spans="1:6" ht="15" customHeight="1" x14ac:dyDescent="0.2">
      <c r="A170" s="24" t="s">
        <v>91</v>
      </c>
      <c r="B170" s="24">
        <v>5.1872644284928035E-2</v>
      </c>
    </row>
    <row r="171" spans="1:6" ht="15" customHeight="1" thickBot="1" x14ac:dyDescent="0.25">
      <c r="A171" s="26" t="s">
        <v>102</v>
      </c>
      <c r="B171" s="26">
        <v>81</v>
      </c>
    </row>
    <row r="173" spans="1:6" ht="15" customHeight="1" thickBot="1" x14ac:dyDescent="0.25">
      <c r="A173" s="24" t="s">
        <v>101</v>
      </c>
    </row>
    <row r="174" spans="1:6" ht="15" customHeight="1" x14ac:dyDescent="0.2">
      <c r="A174" s="27"/>
      <c r="B174" s="27" t="s">
        <v>100</v>
      </c>
      <c r="C174" s="27" t="s">
        <v>99</v>
      </c>
      <c r="D174" s="27" t="s">
        <v>98</v>
      </c>
      <c r="E174" s="27" t="s">
        <v>97</v>
      </c>
      <c r="F174" s="27" t="s">
        <v>96</v>
      </c>
    </row>
    <row r="175" spans="1:6" ht="15" customHeight="1" x14ac:dyDescent="0.2">
      <c r="A175" s="24" t="s">
        <v>95</v>
      </c>
      <c r="B175" s="24">
        <v>4</v>
      </c>
      <c r="C175" s="24">
        <v>8.3898692837629074E-2</v>
      </c>
      <c r="D175" s="24">
        <v>2.0974673209407269E-2</v>
      </c>
      <c r="E175" s="24">
        <v>7.7950414415274336</v>
      </c>
      <c r="F175" s="24">
        <v>2.5569684233363428E-5</v>
      </c>
    </row>
    <row r="176" spans="1:6" ht="15" customHeight="1" x14ac:dyDescent="0.2">
      <c r="A176" s="24" t="s">
        <v>94</v>
      </c>
      <c r="B176" s="24">
        <v>76</v>
      </c>
      <c r="C176" s="24">
        <v>0.20449861310841144</v>
      </c>
      <c r="D176" s="24">
        <v>2.6907712251106768E-3</v>
      </c>
    </row>
    <row r="177" spans="1:9" ht="15" customHeight="1" thickBot="1" x14ac:dyDescent="0.25">
      <c r="A177" s="26" t="s">
        <v>93</v>
      </c>
      <c r="B177" s="26">
        <v>80</v>
      </c>
      <c r="C177" s="26">
        <v>0.28839730594604052</v>
      </c>
      <c r="D177" s="26"/>
      <c r="E177" s="26"/>
      <c r="F177" s="26"/>
    </row>
    <row r="178" spans="1:9" ht="15" customHeight="1" thickBot="1" x14ac:dyDescent="0.25"/>
    <row r="179" spans="1:9" ht="15" customHeight="1" x14ac:dyDescent="0.2">
      <c r="A179" s="27"/>
      <c r="B179" s="27" t="s">
        <v>92</v>
      </c>
      <c r="C179" s="27" t="s">
        <v>91</v>
      </c>
      <c r="D179" s="27" t="s">
        <v>90</v>
      </c>
      <c r="E179" s="27" t="s">
        <v>89</v>
      </c>
      <c r="F179" s="27" t="s">
        <v>88</v>
      </c>
      <c r="G179" s="27" t="s">
        <v>87</v>
      </c>
      <c r="H179" s="27" t="s">
        <v>133</v>
      </c>
      <c r="I179" s="27" t="s">
        <v>134</v>
      </c>
    </row>
    <row r="180" spans="1:9" ht="15" customHeight="1" x14ac:dyDescent="0.2">
      <c r="A180" s="24" t="s">
        <v>84</v>
      </c>
      <c r="B180" s="24">
        <v>-1.3472376856621265E-2</v>
      </c>
      <c r="C180" s="24">
        <v>7.1618703354183457E-3</v>
      </c>
      <c r="D180" s="24">
        <v>-1.8811254917580553</v>
      </c>
      <c r="E180" s="24">
        <v>6.3784938256738602E-2</v>
      </c>
      <c r="F180" s="24">
        <v>-2.7736477837500613E-2</v>
      </c>
      <c r="G180" s="24">
        <v>7.9172412425808185E-4</v>
      </c>
      <c r="H180" s="24">
        <v>-2.7736477837500613E-2</v>
      </c>
      <c r="I180" s="24">
        <v>7.9172412425808185E-4</v>
      </c>
    </row>
    <row r="181" spans="1:9" ht="15" customHeight="1" x14ac:dyDescent="0.2">
      <c r="A181" s="24" t="s">
        <v>135</v>
      </c>
      <c r="B181" s="24">
        <v>0.78833798945629019</v>
      </c>
      <c r="C181" s="24">
        <v>0.14399834826973848</v>
      </c>
      <c r="D181" s="24">
        <v>5.4746321671660514</v>
      </c>
      <c r="E181" s="24">
        <v>5.4314405669006533E-7</v>
      </c>
      <c r="F181" s="24">
        <v>0.50154042337337923</v>
      </c>
      <c r="G181" s="24">
        <v>1.0751355555392013</v>
      </c>
      <c r="H181" s="24">
        <v>0.50154042337337923</v>
      </c>
      <c r="I181" s="24">
        <v>1.0751355555392013</v>
      </c>
    </row>
    <row r="182" spans="1:9" ht="15" customHeight="1" x14ac:dyDescent="0.2">
      <c r="A182" s="24" t="s">
        <v>136</v>
      </c>
      <c r="B182" s="24">
        <v>0.2991732182085251</v>
      </c>
      <c r="C182" s="24">
        <v>0.14868257076908267</v>
      </c>
      <c r="D182" s="24">
        <v>2.0121606497722446</v>
      </c>
      <c r="E182" s="24">
        <v>4.7746854106895838E-2</v>
      </c>
      <c r="F182" s="24">
        <v>3.0462144761890797E-3</v>
      </c>
      <c r="G182" s="24">
        <v>0.59530022194086119</v>
      </c>
      <c r="H182" s="24">
        <v>3.0462144761890797E-3</v>
      </c>
      <c r="I182" s="24">
        <v>0.59530022194086119</v>
      </c>
    </row>
    <row r="183" spans="1:9" ht="15" customHeight="1" x14ac:dyDescent="0.2">
      <c r="A183" s="24" t="s">
        <v>137</v>
      </c>
      <c r="B183" s="24">
        <v>9.9602982331745443E-2</v>
      </c>
      <c r="C183" s="24">
        <v>0.14859228188256357</v>
      </c>
      <c r="D183" s="24">
        <v>0.67031060476252946</v>
      </c>
      <c r="E183" s="24">
        <v>0.5046916018210843</v>
      </c>
      <c r="F183" s="24">
        <v>-0.19634419549835516</v>
      </c>
      <c r="G183" s="24">
        <v>0.39555016016184608</v>
      </c>
      <c r="H183" s="24">
        <v>-0.19634419549835516</v>
      </c>
      <c r="I183" s="24">
        <v>0.39555016016184608</v>
      </c>
    </row>
    <row r="184" spans="1:9" ht="15" customHeight="1" thickBot="1" x14ac:dyDescent="0.25">
      <c r="A184" s="26" t="s">
        <v>138</v>
      </c>
      <c r="B184" s="26">
        <v>5.9804345029797069E-2</v>
      </c>
      <c r="C184" s="26">
        <v>0.1476599334293589</v>
      </c>
      <c r="D184" s="26">
        <v>0.40501403218096199</v>
      </c>
      <c r="E184" s="26">
        <v>0.68660496733163012</v>
      </c>
      <c r="F184" s="26">
        <v>-0.23428589992341123</v>
      </c>
      <c r="G184" s="26">
        <v>0.35389458998300538</v>
      </c>
      <c r="H184" s="26">
        <v>-0.23428589992341123</v>
      </c>
      <c r="I184" s="26">
        <v>0.35389458998300538</v>
      </c>
    </row>
    <row r="190" spans="1:9" ht="15" customHeight="1" x14ac:dyDescent="0.2">
      <c r="A190" s="19" t="s">
        <v>110</v>
      </c>
    </row>
    <row r="191" spans="1:9" ht="15" customHeight="1" x14ac:dyDescent="0.2">
      <c r="A191" t="s">
        <v>107</v>
      </c>
      <c r="B191"/>
      <c r="C191"/>
      <c r="D191"/>
      <c r="E191"/>
      <c r="F191"/>
      <c r="G191"/>
      <c r="H191"/>
      <c r="I191"/>
    </row>
    <row r="192" spans="1:9" ht="15" customHeight="1" thickBot="1" x14ac:dyDescent="0.25">
      <c r="A192"/>
      <c r="B192"/>
      <c r="C192"/>
      <c r="D192"/>
      <c r="E192"/>
      <c r="F192"/>
      <c r="G192"/>
      <c r="H192"/>
      <c r="I192"/>
    </row>
    <row r="193" spans="1:9" ht="15" customHeight="1" x14ac:dyDescent="0.2">
      <c r="A193" s="18" t="s">
        <v>106</v>
      </c>
      <c r="B193" s="18"/>
      <c r="C193"/>
      <c r="D193"/>
      <c r="E193"/>
      <c r="F193"/>
      <c r="G193"/>
      <c r="H193"/>
      <c r="I193"/>
    </row>
    <row r="194" spans="1:9" ht="15" customHeight="1" x14ac:dyDescent="0.2">
      <c r="A194" t="s">
        <v>105</v>
      </c>
      <c r="B194">
        <v>0.50118156445855</v>
      </c>
      <c r="C194"/>
      <c r="D194"/>
      <c r="E194"/>
      <c r="F194"/>
      <c r="G194"/>
      <c r="H194"/>
      <c r="I194"/>
    </row>
    <row r="195" spans="1:9" ht="15" customHeight="1" x14ac:dyDescent="0.2">
      <c r="A195" t="s">
        <v>104</v>
      </c>
      <c r="B195">
        <v>0.25118296055311973</v>
      </c>
      <c r="C195"/>
      <c r="D195"/>
      <c r="E195"/>
      <c r="F195"/>
      <c r="G195"/>
      <c r="H195"/>
      <c r="I195"/>
    </row>
    <row r="196" spans="1:9" ht="15" customHeight="1" x14ac:dyDescent="0.2">
      <c r="A196" t="s">
        <v>103</v>
      </c>
      <c r="B196">
        <v>0.21177153742433655</v>
      </c>
      <c r="C196"/>
      <c r="D196"/>
      <c r="E196"/>
      <c r="F196"/>
      <c r="G196"/>
      <c r="H196"/>
      <c r="I196"/>
    </row>
    <row r="197" spans="1:9" ht="15" customHeight="1" x14ac:dyDescent="0.2">
      <c r="A197" t="s">
        <v>91</v>
      </c>
      <c r="B197">
        <v>3.7005384937895611E-2</v>
      </c>
      <c r="C197"/>
      <c r="D197"/>
      <c r="E197"/>
      <c r="F197"/>
      <c r="G197"/>
      <c r="H197"/>
      <c r="I197"/>
    </row>
    <row r="198" spans="1:9" ht="15" customHeight="1" thickBot="1" x14ac:dyDescent="0.25">
      <c r="A198" s="16" t="s">
        <v>102</v>
      </c>
      <c r="B198" s="16">
        <v>81</v>
      </c>
      <c r="C198"/>
      <c r="D198"/>
      <c r="E198"/>
      <c r="F198"/>
      <c r="G198"/>
      <c r="H198"/>
      <c r="I198"/>
    </row>
    <row r="199" spans="1:9" ht="15" customHeight="1" x14ac:dyDescent="0.2">
      <c r="A199"/>
      <c r="B199"/>
      <c r="C199"/>
      <c r="D199"/>
      <c r="E199"/>
      <c r="F199"/>
      <c r="G199"/>
      <c r="H199"/>
      <c r="I199"/>
    </row>
    <row r="200" spans="1:9" ht="15" customHeight="1" thickBot="1" x14ac:dyDescent="0.25">
      <c r="A200" t="s">
        <v>101</v>
      </c>
      <c r="B200"/>
      <c r="C200"/>
      <c r="D200"/>
      <c r="E200"/>
      <c r="F200"/>
      <c r="G200"/>
      <c r="H200"/>
      <c r="I200"/>
    </row>
    <row r="201" spans="1:9" ht="15" customHeight="1" x14ac:dyDescent="0.2">
      <c r="A201" s="17"/>
      <c r="B201" s="17" t="s">
        <v>100</v>
      </c>
      <c r="C201" s="17" t="s">
        <v>99</v>
      </c>
      <c r="D201" s="17" t="s">
        <v>98</v>
      </c>
      <c r="E201" s="17" t="s">
        <v>97</v>
      </c>
      <c r="F201" s="17" t="s">
        <v>96</v>
      </c>
      <c r="G201"/>
      <c r="H201"/>
      <c r="I201"/>
    </row>
    <row r="202" spans="1:9" ht="15" customHeight="1" x14ac:dyDescent="0.2">
      <c r="A202" t="s">
        <v>95</v>
      </c>
      <c r="B202">
        <v>4</v>
      </c>
      <c r="C202">
        <v>3.4910647291321595E-2</v>
      </c>
      <c r="D202">
        <v>8.7276618228303987E-3</v>
      </c>
      <c r="E202">
        <v>6.3733542362157012</v>
      </c>
      <c r="F202">
        <v>1.7755050933075125E-4</v>
      </c>
      <c r="G202"/>
      <c r="H202"/>
      <c r="I202"/>
    </row>
    <row r="203" spans="1:9" ht="15" customHeight="1" x14ac:dyDescent="0.2">
      <c r="A203" t="s">
        <v>94</v>
      </c>
      <c r="B203">
        <v>76</v>
      </c>
      <c r="C203">
        <v>0.10407428709453917</v>
      </c>
      <c r="D203">
        <v>1.3693985144018312E-3</v>
      </c>
      <c r="E203"/>
      <c r="F203"/>
      <c r="G203"/>
      <c r="H203"/>
      <c r="I203"/>
    </row>
    <row r="204" spans="1:9" ht="15" customHeight="1" thickBot="1" x14ac:dyDescent="0.25">
      <c r="A204" s="16" t="s">
        <v>93</v>
      </c>
      <c r="B204" s="16">
        <v>80</v>
      </c>
      <c r="C204" s="16">
        <v>0.13898493438586076</v>
      </c>
      <c r="D204" s="16"/>
      <c r="E204" s="16"/>
      <c r="F204" s="16"/>
      <c r="G204"/>
      <c r="H204"/>
      <c r="I204"/>
    </row>
    <row r="205" spans="1:9" ht="15" customHeight="1" thickBot="1" x14ac:dyDescent="0.25">
      <c r="A205"/>
      <c r="B205"/>
      <c r="C205"/>
      <c r="D205"/>
      <c r="E205"/>
      <c r="F205"/>
      <c r="G205"/>
      <c r="H205"/>
      <c r="I205"/>
    </row>
    <row r="206" spans="1:9" ht="15" customHeight="1" x14ac:dyDescent="0.2">
      <c r="A206" s="17"/>
      <c r="B206" s="17" t="s">
        <v>92</v>
      </c>
      <c r="C206" s="17" t="s">
        <v>91</v>
      </c>
      <c r="D206" s="17" t="s">
        <v>90</v>
      </c>
      <c r="E206" s="17" t="s">
        <v>89</v>
      </c>
      <c r="F206" s="17" t="s">
        <v>88</v>
      </c>
      <c r="G206" s="17" t="s">
        <v>87</v>
      </c>
      <c r="H206" s="17" t="s">
        <v>133</v>
      </c>
      <c r="I206" s="17" t="s">
        <v>134</v>
      </c>
    </row>
    <row r="207" spans="1:9" ht="15" customHeight="1" x14ac:dyDescent="0.2">
      <c r="A207" t="s">
        <v>84</v>
      </c>
      <c r="B207">
        <v>-5.5565913351323616E-3</v>
      </c>
      <c r="C207">
        <v>5.1092010498191842E-3</v>
      </c>
      <c r="D207">
        <v>-1.0875656058453622</v>
      </c>
      <c r="E207">
        <v>0.28022400624890809</v>
      </c>
      <c r="F207">
        <v>-1.5732447123224982E-2</v>
      </c>
      <c r="G207">
        <v>4.6192644529602601E-3</v>
      </c>
      <c r="H207">
        <v>-1.5732447123224982E-2</v>
      </c>
      <c r="I207">
        <v>4.6192644529602601E-3</v>
      </c>
    </row>
    <row r="208" spans="1:9" ht="15" customHeight="1" x14ac:dyDescent="0.2">
      <c r="A208" t="s">
        <v>135</v>
      </c>
      <c r="B208">
        <v>0.40561836290204356</v>
      </c>
      <c r="C208">
        <v>0.1027268684987999</v>
      </c>
      <c r="D208">
        <v>3.9485128752540741</v>
      </c>
      <c r="E208">
        <v>1.7428343515811927E-4</v>
      </c>
      <c r="F208">
        <v>0.20102007263841473</v>
      </c>
      <c r="G208">
        <v>0.61021665316567242</v>
      </c>
      <c r="H208">
        <v>0.20102007263841473</v>
      </c>
      <c r="I208">
        <v>0.61021665316567242</v>
      </c>
    </row>
    <row r="209" spans="1:9" ht="15" customHeight="1" x14ac:dyDescent="0.2">
      <c r="A209" t="s">
        <v>136</v>
      </c>
      <c r="B209">
        <v>0.11795836235199905</v>
      </c>
      <c r="C209">
        <v>0.10606854230611241</v>
      </c>
      <c r="D209">
        <v>1.1120956297445173</v>
      </c>
      <c r="E209">
        <v>0.26960254474083389</v>
      </c>
      <c r="F209">
        <v>-9.32954481040211E-2</v>
      </c>
      <c r="G209">
        <v>0.32921217280801918</v>
      </c>
      <c r="H209">
        <v>-9.32954481040211E-2</v>
      </c>
      <c r="I209">
        <v>0.32921217280801918</v>
      </c>
    </row>
    <row r="210" spans="1:9" ht="15" customHeight="1" x14ac:dyDescent="0.2">
      <c r="A210" t="s">
        <v>137</v>
      </c>
      <c r="B210">
        <v>0.36528788229892251</v>
      </c>
      <c r="C210">
        <v>0.10600413118831975</v>
      </c>
      <c r="D210">
        <v>3.445977795431169</v>
      </c>
      <c r="E210">
        <v>9.2991541842240536E-4</v>
      </c>
      <c r="F210">
        <v>0.1541623577019666</v>
      </c>
      <c r="G210">
        <v>0.57641340689587839</v>
      </c>
      <c r="H210">
        <v>0.1541623577019666</v>
      </c>
      <c r="I210">
        <v>0.57641340689587839</v>
      </c>
    </row>
    <row r="211" spans="1:9" ht="15" customHeight="1" thickBot="1" x14ac:dyDescent="0.25">
      <c r="A211" s="16" t="s">
        <v>138</v>
      </c>
      <c r="B211" s="16">
        <v>8.9413557885729314E-2</v>
      </c>
      <c r="C211" s="16">
        <v>0.10533900385805342</v>
      </c>
      <c r="D211" s="16">
        <v>0.84881719601427041</v>
      </c>
      <c r="E211" s="16">
        <v>0.39864872446339361</v>
      </c>
      <c r="F211" s="16">
        <v>-0.12038725082560907</v>
      </c>
      <c r="G211" s="16">
        <v>0.29921436659706768</v>
      </c>
      <c r="H211" s="16">
        <v>-0.12038725082560907</v>
      </c>
      <c r="I211" s="16">
        <v>0.29921436659706768</v>
      </c>
    </row>
    <row r="217" spans="1:9" ht="15" customHeight="1" x14ac:dyDescent="0.2">
      <c r="A217" s="19" t="s">
        <v>109</v>
      </c>
    </row>
    <row r="218" spans="1:9" ht="15" customHeight="1" x14ac:dyDescent="0.2">
      <c r="A218" t="s">
        <v>107</v>
      </c>
      <c r="B218"/>
      <c r="C218"/>
      <c r="D218"/>
      <c r="E218"/>
      <c r="F218"/>
      <c r="G218"/>
      <c r="H218"/>
      <c r="I218"/>
    </row>
    <row r="219" spans="1:9" ht="15" customHeight="1" thickBot="1" x14ac:dyDescent="0.25">
      <c r="A219"/>
      <c r="B219"/>
      <c r="C219"/>
      <c r="D219"/>
      <c r="E219"/>
      <c r="F219"/>
      <c r="G219"/>
      <c r="H219"/>
      <c r="I219"/>
    </row>
    <row r="220" spans="1:9" ht="15" customHeight="1" x14ac:dyDescent="0.2">
      <c r="A220" s="18" t="s">
        <v>106</v>
      </c>
      <c r="B220" s="18"/>
      <c r="C220"/>
      <c r="D220"/>
      <c r="E220"/>
      <c r="F220"/>
      <c r="G220"/>
      <c r="H220"/>
      <c r="I220"/>
    </row>
    <row r="221" spans="1:9" ht="15" customHeight="1" x14ac:dyDescent="0.2">
      <c r="A221" t="s">
        <v>105</v>
      </c>
      <c r="B221">
        <v>0.17812626364510675</v>
      </c>
      <c r="C221"/>
      <c r="D221"/>
      <c r="E221"/>
      <c r="F221"/>
      <c r="G221"/>
      <c r="H221"/>
      <c r="I221"/>
    </row>
    <row r="222" spans="1:9" ht="15" customHeight="1" x14ac:dyDescent="0.2">
      <c r="A222" t="s">
        <v>104</v>
      </c>
      <c r="B222">
        <v>3.1728965800166077E-2</v>
      </c>
      <c r="C222"/>
      <c r="D222"/>
      <c r="E222"/>
      <c r="F222"/>
      <c r="G222"/>
      <c r="H222"/>
      <c r="I222"/>
    </row>
    <row r="223" spans="1:9" ht="15" customHeight="1" x14ac:dyDescent="0.2">
      <c r="A223" t="s">
        <v>103</v>
      </c>
      <c r="B223">
        <v>-1.9232667578772553E-2</v>
      </c>
      <c r="C223"/>
      <c r="D223"/>
      <c r="E223"/>
      <c r="F223"/>
      <c r="G223"/>
      <c r="H223"/>
      <c r="I223"/>
    </row>
    <row r="224" spans="1:9" ht="15" customHeight="1" x14ac:dyDescent="0.2">
      <c r="A224" t="s">
        <v>91</v>
      </c>
      <c r="B224">
        <v>3.232319024461066E-2</v>
      </c>
      <c r="C224"/>
      <c r="D224"/>
      <c r="E224"/>
      <c r="F224"/>
      <c r="G224"/>
      <c r="H224"/>
      <c r="I224"/>
    </row>
    <row r="225" spans="1:9" ht="15" customHeight="1" thickBot="1" x14ac:dyDescent="0.25">
      <c r="A225" s="16" t="s">
        <v>102</v>
      </c>
      <c r="B225" s="16">
        <v>81</v>
      </c>
      <c r="C225"/>
      <c r="D225"/>
      <c r="E225"/>
      <c r="F225"/>
      <c r="G225"/>
      <c r="H225"/>
      <c r="I225"/>
    </row>
    <row r="226" spans="1:9" ht="15" customHeight="1" x14ac:dyDescent="0.2">
      <c r="A226"/>
      <c r="B226"/>
      <c r="C226"/>
      <c r="D226"/>
      <c r="E226"/>
      <c r="F226"/>
      <c r="G226"/>
      <c r="H226"/>
      <c r="I226"/>
    </row>
    <row r="227" spans="1:9" ht="15" customHeight="1" thickBot="1" x14ac:dyDescent="0.25">
      <c r="A227" t="s">
        <v>101</v>
      </c>
      <c r="B227"/>
      <c r="C227"/>
      <c r="D227"/>
      <c r="E227"/>
      <c r="F227"/>
      <c r="G227"/>
      <c r="H227"/>
      <c r="I227"/>
    </row>
    <row r="228" spans="1:9" ht="15" customHeight="1" x14ac:dyDescent="0.2">
      <c r="A228" s="17"/>
      <c r="B228" s="17" t="s">
        <v>100</v>
      </c>
      <c r="C228" s="17" t="s">
        <v>99</v>
      </c>
      <c r="D228" s="17" t="s">
        <v>98</v>
      </c>
      <c r="E228" s="17" t="s">
        <v>97</v>
      </c>
      <c r="F228" s="17" t="s">
        <v>96</v>
      </c>
      <c r="G228"/>
      <c r="H228"/>
      <c r="I228"/>
    </row>
    <row r="229" spans="1:9" ht="15" customHeight="1" x14ac:dyDescent="0.2">
      <c r="A229" t="s">
        <v>95</v>
      </c>
      <c r="B229">
        <v>4</v>
      </c>
      <c r="C229">
        <v>2.6019623340317322E-3</v>
      </c>
      <c r="D229">
        <v>6.5049058350793304E-4</v>
      </c>
      <c r="E229">
        <v>0.62260496174125757</v>
      </c>
      <c r="F229">
        <v>0.64778413354017816</v>
      </c>
      <c r="G229"/>
      <c r="H229"/>
      <c r="I229"/>
    </row>
    <row r="230" spans="1:9" ht="15" customHeight="1" x14ac:dyDescent="0.2">
      <c r="A230" t="s">
        <v>94</v>
      </c>
      <c r="B230">
        <v>76</v>
      </c>
      <c r="C230">
        <v>7.9403935696786304E-2</v>
      </c>
      <c r="D230">
        <v>1.0447886275892935E-3</v>
      </c>
      <c r="E230"/>
      <c r="F230"/>
      <c r="G230"/>
      <c r="H230"/>
      <c r="I230"/>
    </row>
    <row r="231" spans="1:9" ht="15" customHeight="1" thickBot="1" x14ac:dyDescent="0.25">
      <c r="A231" s="16" t="s">
        <v>93</v>
      </c>
      <c r="B231" s="16">
        <v>80</v>
      </c>
      <c r="C231" s="16">
        <v>8.2005898030818036E-2</v>
      </c>
      <c r="D231" s="16"/>
      <c r="E231" s="16"/>
      <c r="F231" s="16"/>
      <c r="G231"/>
      <c r="H231"/>
      <c r="I231"/>
    </row>
    <row r="232" spans="1:9" ht="15" customHeight="1" thickBot="1" x14ac:dyDescent="0.25">
      <c r="A232"/>
      <c r="B232"/>
      <c r="C232"/>
      <c r="D232"/>
      <c r="E232"/>
      <c r="F232"/>
      <c r="G232"/>
      <c r="H232"/>
      <c r="I232"/>
    </row>
    <row r="233" spans="1:9" ht="15" customHeight="1" x14ac:dyDescent="0.2">
      <c r="A233" s="17"/>
      <c r="B233" s="17" t="s">
        <v>92</v>
      </c>
      <c r="C233" s="17" t="s">
        <v>91</v>
      </c>
      <c r="D233" s="17" t="s">
        <v>90</v>
      </c>
      <c r="E233" s="17" t="s">
        <v>89</v>
      </c>
      <c r="F233" s="17" t="s">
        <v>88</v>
      </c>
      <c r="G233" s="17" t="s">
        <v>87</v>
      </c>
      <c r="H233" s="17" t="s">
        <v>133</v>
      </c>
      <c r="I233" s="17" t="s">
        <v>134</v>
      </c>
    </row>
    <row r="234" spans="1:9" ht="15" customHeight="1" x14ac:dyDescent="0.2">
      <c r="A234" t="s">
        <v>84</v>
      </c>
      <c r="B234">
        <v>1.4120253205631291E-3</v>
      </c>
      <c r="C234">
        <v>4.4627471868871563E-3</v>
      </c>
      <c r="D234">
        <v>0.31640271371680395</v>
      </c>
      <c r="E234">
        <v>0.75256425985820952</v>
      </c>
      <c r="F234">
        <v>-7.4763060153287871E-3</v>
      </c>
      <c r="G234">
        <v>1.0300356656455045E-2</v>
      </c>
      <c r="H234">
        <v>-7.4763060153287871E-3</v>
      </c>
      <c r="I234">
        <v>1.0300356656455045E-2</v>
      </c>
    </row>
    <row r="235" spans="1:9" ht="15" customHeight="1" x14ac:dyDescent="0.2">
      <c r="A235" t="s">
        <v>135</v>
      </c>
      <c r="B235">
        <v>-1.3585385349679624E-2</v>
      </c>
      <c r="C235">
        <v>8.9729106163667319E-2</v>
      </c>
      <c r="D235">
        <v>-0.15140444311235715</v>
      </c>
      <c r="E235">
        <v>0.88005785851440854</v>
      </c>
      <c r="F235">
        <v>-0.19229638838375385</v>
      </c>
      <c r="G235">
        <v>0.1651256176843946</v>
      </c>
      <c r="H235">
        <v>-0.19229638838375385</v>
      </c>
      <c r="I235">
        <v>0.1651256176843946</v>
      </c>
    </row>
    <row r="236" spans="1:9" ht="15" customHeight="1" x14ac:dyDescent="0.2">
      <c r="A236" t="s">
        <v>136</v>
      </c>
      <c r="B236">
        <v>-0.14502472624489166</v>
      </c>
      <c r="C236">
        <v>9.2647966713029772E-2</v>
      </c>
      <c r="D236">
        <v>-1.5653309121623253</v>
      </c>
      <c r="E236">
        <v>0.12165993999457365</v>
      </c>
      <c r="F236">
        <v>-0.32954914388650347</v>
      </c>
      <c r="G236">
        <v>3.9499691396720132E-2</v>
      </c>
      <c r="H236">
        <v>-0.32954914388650347</v>
      </c>
      <c r="I236">
        <v>3.9499691396720132E-2</v>
      </c>
    </row>
    <row r="237" spans="1:9" ht="15" customHeight="1" x14ac:dyDescent="0.2">
      <c r="A237" t="s">
        <v>137</v>
      </c>
      <c r="B237">
        <v>-9.6582505714696357E-3</v>
      </c>
      <c r="C237">
        <v>9.2591705365721144E-2</v>
      </c>
      <c r="D237">
        <v>-0.10431010567654224</v>
      </c>
      <c r="E237">
        <v>0.91719804676568706</v>
      </c>
      <c r="F237">
        <v>-0.1940706140286651</v>
      </c>
      <c r="G237">
        <v>0.17475411288572584</v>
      </c>
      <c r="H237">
        <v>-0.1940706140286651</v>
      </c>
      <c r="I237">
        <v>0.17475411288572584</v>
      </c>
    </row>
    <row r="238" spans="1:9" ht="15" customHeight="1" thickBot="1" x14ac:dyDescent="0.25">
      <c r="A238" s="16" t="s">
        <v>138</v>
      </c>
      <c r="B238" s="16">
        <v>-1.7473660304449225E-2</v>
      </c>
      <c r="C238" s="16">
        <v>9.20107348591538E-2</v>
      </c>
      <c r="D238" s="16">
        <v>-0.18990893107415321</v>
      </c>
      <c r="E238" s="16">
        <v>0.84988681093816565</v>
      </c>
      <c r="F238" s="16">
        <v>-0.20072892071670315</v>
      </c>
      <c r="G238" s="16">
        <v>0.16578160010780471</v>
      </c>
      <c r="H238" s="16">
        <v>-0.20072892071670315</v>
      </c>
      <c r="I238" s="16">
        <v>0.16578160010780471</v>
      </c>
    </row>
    <row r="244" spans="1:9" ht="15" customHeight="1" x14ac:dyDescent="0.2">
      <c r="A244" s="19" t="s">
        <v>108</v>
      </c>
    </row>
    <row r="245" spans="1:9" ht="15" customHeight="1" x14ac:dyDescent="0.2">
      <c r="A245" t="s">
        <v>107</v>
      </c>
      <c r="B245"/>
      <c r="C245"/>
      <c r="D245"/>
      <c r="E245"/>
      <c r="F245"/>
      <c r="G245"/>
      <c r="H245"/>
      <c r="I245"/>
    </row>
    <row r="246" spans="1:9" ht="15" customHeight="1" thickBot="1" x14ac:dyDescent="0.25">
      <c r="A246"/>
      <c r="B246"/>
      <c r="C246"/>
      <c r="D246"/>
      <c r="E246"/>
      <c r="F246"/>
      <c r="G246"/>
      <c r="H246"/>
      <c r="I246"/>
    </row>
    <row r="247" spans="1:9" ht="15" customHeight="1" x14ac:dyDescent="0.2">
      <c r="A247" s="18" t="s">
        <v>106</v>
      </c>
      <c r="B247" s="18"/>
      <c r="C247"/>
      <c r="D247"/>
      <c r="E247"/>
      <c r="F247"/>
      <c r="G247"/>
      <c r="H247"/>
      <c r="I247"/>
    </row>
    <row r="248" spans="1:9" ht="15" customHeight="1" x14ac:dyDescent="0.2">
      <c r="A248" t="s">
        <v>105</v>
      </c>
      <c r="B248">
        <v>0.77281256842643797</v>
      </c>
      <c r="C248"/>
      <c r="D248"/>
      <c r="E248"/>
      <c r="F248"/>
      <c r="G248"/>
      <c r="H248"/>
      <c r="I248"/>
    </row>
    <row r="249" spans="1:9" ht="15" customHeight="1" x14ac:dyDescent="0.2">
      <c r="A249" t="s">
        <v>104</v>
      </c>
      <c r="B249">
        <v>0.5972392659178678</v>
      </c>
      <c r="C249"/>
      <c r="D249"/>
      <c r="E249"/>
      <c r="F249"/>
      <c r="G249"/>
      <c r="H249"/>
      <c r="I249"/>
    </row>
    <row r="250" spans="1:9" ht="15" customHeight="1" x14ac:dyDescent="0.2">
      <c r="A250" t="s">
        <v>103</v>
      </c>
      <c r="B250">
        <v>0.57604133254512402</v>
      </c>
      <c r="C250"/>
      <c r="D250"/>
      <c r="E250"/>
      <c r="F250"/>
      <c r="G250"/>
      <c r="H250"/>
      <c r="I250"/>
    </row>
    <row r="251" spans="1:9" ht="15" customHeight="1" x14ac:dyDescent="0.2">
      <c r="A251" t="s">
        <v>91</v>
      </c>
      <c r="B251">
        <v>3.488630916627744E-2</v>
      </c>
      <c r="C251"/>
      <c r="D251"/>
      <c r="E251"/>
      <c r="F251"/>
      <c r="G251"/>
      <c r="H251"/>
      <c r="I251"/>
    </row>
    <row r="252" spans="1:9" ht="15" customHeight="1" thickBot="1" x14ac:dyDescent="0.25">
      <c r="A252" s="16" t="s">
        <v>102</v>
      </c>
      <c r="B252" s="16">
        <v>81</v>
      </c>
      <c r="C252"/>
      <c r="D252"/>
      <c r="E252"/>
      <c r="F252"/>
      <c r="G252"/>
      <c r="H252"/>
      <c r="I252"/>
    </row>
    <row r="253" spans="1:9" ht="15" customHeight="1" x14ac:dyDescent="0.2">
      <c r="A253"/>
      <c r="B253"/>
      <c r="C253"/>
      <c r="D253"/>
      <c r="E253"/>
      <c r="F253"/>
      <c r="G253"/>
      <c r="H253"/>
      <c r="I253"/>
    </row>
    <row r="254" spans="1:9" ht="15" customHeight="1" thickBot="1" x14ac:dyDescent="0.25">
      <c r="A254" t="s">
        <v>101</v>
      </c>
      <c r="B254"/>
      <c r="C254"/>
      <c r="D254"/>
      <c r="E254"/>
      <c r="F254"/>
      <c r="G254"/>
      <c r="H254"/>
      <c r="I254"/>
    </row>
    <row r="255" spans="1:9" ht="15" customHeight="1" x14ac:dyDescent="0.2">
      <c r="A255" s="17"/>
      <c r="B255" s="17" t="s">
        <v>100</v>
      </c>
      <c r="C255" s="17" t="s">
        <v>99</v>
      </c>
      <c r="D255" s="17" t="s">
        <v>98</v>
      </c>
      <c r="E255" s="17" t="s">
        <v>97</v>
      </c>
      <c r="F255" s="17" t="s">
        <v>96</v>
      </c>
      <c r="G255"/>
      <c r="H255"/>
      <c r="I255"/>
    </row>
    <row r="256" spans="1:9" ht="15" customHeight="1" x14ac:dyDescent="0.2">
      <c r="A256" t="s">
        <v>95</v>
      </c>
      <c r="B256">
        <v>4</v>
      </c>
      <c r="C256">
        <v>0.13715917746171563</v>
      </c>
      <c r="D256">
        <v>3.4289794365428908E-2</v>
      </c>
      <c r="E256">
        <v>28.174409996296855</v>
      </c>
      <c r="F256">
        <v>2.3251399778574114E-14</v>
      </c>
      <c r="G256"/>
      <c r="H256"/>
      <c r="I256"/>
    </row>
    <row r="257" spans="1:9" ht="15" customHeight="1" x14ac:dyDescent="0.2">
      <c r="A257" t="s">
        <v>94</v>
      </c>
      <c r="B257">
        <v>76</v>
      </c>
      <c r="C257">
        <v>9.2496147110627105E-2</v>
      </c>
      <c r="D257">
        <v>1.2170545672450935E-3</v>
      </c>
      <c r="E257"/>
      <c r="F257"/>
      <c r="G257"/>
      <c r="H257"/>
      <c r="I257"/>
    </row>
    <row r="258" spans="1:9" ht="15" customHeight="1" thickBot="1" x14ac:dyDescent="0.25">
      <c r="A258" s="16" t="s">
        <v>93</v>
      </c>
      <c r="B258" s="16">
        <v>80</v>
      </c>
      <c r="C258" s="16">
        <v>0.22965532457234272</v>
      </c>
      <c r="D258" s="16"/>
      <c r="E258" s="16"/>
      <c r="F258" s="16"/>
      <c r="G258"/>
      <c r="H258"/>
      <c r="I258"/>
    </row>
    <row r="259" spans="1:9" ht="15" customHeight="1" thickBot="1" x14ac:dyDescent="0.25">
      <c r="A259"/>
      <c r="B259"/>
      <c r="C259"/>
      <c r="D259"/>
      <c r="E259"/>
      <c r="F259"/>
      <c r="G259"/>
      <c r="H259"/>
      <c r="I259"/>
    </row>
    <row r="260" spans="1:9" ht="15" customHeight="1" x14ac:dyDescent="0.2">
      <c r="A260" s="17"/>
      <c r="B260" s="17" t="s">
        <v>92</v>
      </c>
      <c r="C260" s="17" t="s">
        <v>91</v>
      </c>
      <c r="D260" s="17" t="s">
        <v>90</v>
      </c>
      <c r="E260" s="17" t="s">
        <v>89</v>
      </c>
      <c r="F260" s="17" t="s">
        <v>88</v>
      </c>
      <c r="G260" s="17" t="s">
        <v>87</v>
      </c>
      <c r="H260" s="17" t="s">
        <v>133</v>
      </c>
      <c r="I260" s="17" t="s">
        <v>134</v>
      </c>
    </row>
    <row r="261" spans="1:9" ht="15" customHeight="1" x14ac:dyDescent="0.2">
      <c r="A261" t="s">
        <v>84</v>
      </c>
      <c r="B261">
        <v>9.6213495691722696E-3</v>
      </c>
      <c r="C261">
        <v>4.816627842563862E-3</v>
      </c>
      <c r="D261">
        <v>1.9975281220919245</v>
      </c>
      <c r="E261">
        <v>4.9346951157563636E-2</v>
      </c>
      <c r="F261">
        <v>2.8203824285965087E-5</v>
      </c>
      <c r="G261">
        <v>1.9214495314058576E-2</v>
      </c>
      <c r="H261">
        <v>2.8203824285965087E-5</v>
      </c>
      <c r="I261">
        <v>1.9214495314058576E-2</v>
      </c>
    </row>
    <row r="262" spans="1:9" ht="15" customHeight="1" x14ac:dyDescent="0.2">
      <c r="A262" t="s">
        <v>135</v>
      </c>
      <c r="B262">
        <v>-1.0148616824432748</v>
      </c>
      <c r="C262">
        <v>9.6844318742991542E-2</v>
      </c>
      <c r="D262">
        <v>-10.479310460498423</v>
      </c>
      <c r="E262">
        <v>2.0715856598455899E-16</v>
      </c>
      <c r="F262">
        <v>-1.2077438594833882</v>
      </c>
      <c r="G262">
        <v>-0.82197950540316134</v>
      </c>
      <c r="H262">
        <v>-1.2077438594833882</v>
      </c>
      <c r="I262">
        <v>-0.82197950540316134</v>
      </c>
    </row>
    <row r="263" spans="1:9" ht="15" customHeight="1" x14ac:dyDescent="0.2">
      <c r="A263" t="s">
        <v>136</v>
      </c>
      <c r="B263">
        <v>-0.14869369180046599</v>
      </c>
      <c r="C263">
        <v>9.9994634994812842E-2</v>
      </c>
      <c r="D263">
        <v>-1.4870166965275624</v>
      </c>
      <c r="E263">
        <v>0.14114757072197451</v>
      </c>
      <c r="F263">
        <v>-0.3478502674310503</v>
      </c>
      <c r="G263">
        <v>5.0462883830118349E-2</v>
      </c>
      <c r="H263">
        <v>-0.3478502674310503</v>
      </c>
      <c r="I263">
        <v>5.0462883830118349E-2</v>
      </c>
    </row>
    <row r="264" spans="1:9" ht="15" customHeight="1" x14ac:dyDescent="0.2">
      <c r="A264" t="s">
        <v>137</v>
      </c>
      <c r="B264">
        <v>2.3271697010660064E-2</v>
      </c>
      <c r="C264">
        <v>9.9933912314239967E-2</v>
      </c>
      <c r="D264">
        <v>0.23287086907478144</v>
      </c>
      <c r="E264">
        <v>0.81648769609704197</v>
      </c>
      <c r="F264">
        <v>-0.17576393892024308</v>
      </c>
      <c r="G264">
        <v>0.22230733294156321</v>
      </c>
      <c r="H264">
        <v>-0.17576393892024308</v>
      </c>
      <c r="I264">
        <v>0.22230733294156321</v>
      </c>
    </row>
    <row r="265" spans="1:9" ht="15" customHeight="1" thickBot="1" x14ac:dyDescent="0.25">
      <c r="A265" s="16" t="s">
        <v>138</v>
      </c>
      <c r="B265" s="16">
        <v>-0.12702988926341666</v>
      </c>
      <c r="C265" s="16">
        <v>9.9306872824783107E-2</v>
      </c>
      <c r="D265" s="16">
        <v>-1.2791651337923811</v>
      </c>
      <c r="E265" s="16">
        <v>0.20473071326382133</v>
      </c>
      <c r="F265" s="16">
        <v>-0.324816667818003</v>
      </c>
      <c r="G265" s="16">
        <v>7.0756889291169689E-2</v>
      </c>
      <c r="H265" s="16">
        <v>-0.324816667818003</v>
      </c>
      <c r="I265" s="16">
        <v>7.0756889291169689E-2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Exhibit 1</vt:lpstr>
      <vt:lpstr>Exhibit 2</vt:lpstr>
      <vt:lpstr>Exhibit 3</vt:lpstr>
      <vt:lpstr>Exhibit 4A</vt:lpstr>
      <vt:lpstr>Exhibit 4B</vt:lpstr>
      <vt:lpstr>ROR (Before&amp;After RiskFree Adj)</vt:lpstr>
      <vt:lpstr>ROR (RiskFree Adj as Values)</vt:lpstr>
      <vt:lpstr>HEDG Regressions</vt:lpstr>
      <vt:lpstr>SnPL Regressions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Kumar, Danesh</cp:lastModifiedBy>
  <dcterms:created xsi:type="dcterms:W3CDTF">2006-03-17T19:06:53Z</dcterms:created>
  <dcterms:modified xsi:type="dcterms:W3CDTF">2025-05-03T08:03:26Z</dcterms:modified>
</cp:coreProperties>
</file>